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kane9080/LocalProjects/MSDS460/FinalProject/"/>
    </mc:Choice>
  </mc:AlternateContent>
  <xr:revisionPtr revIDLastSave="0" documentId="13_ncr:9_{3BF367F5-B449-6E46-B634-CCFDB65E92C2}" xr6:coauthVersionLast="47" xr6:coauthVersionMax="47" xr10:uidLastSave="{00000000-0000-0000-0000-000000000000}"/>
  <bookViews>
    <workbookView xWindow="200" yWindow="500" windowWidth="24760" windowHeight="16660" firstSheet="3" activeTab="8" xr2:uid="{49400629-33EB-5349-9A6B-C683FFC8D3E6}"/>
  </bookViews>
  <sheets>
    <sheet name="HNL_arrivals" sheetId="1" r:id="rId1"/>
    <sheet name="HNL_arrivals_counts" sheetId="3" r:id="rId2"/>
    <sheet name="HNL_island_arrivals" sheetId="4" r:id="rId3"/>
    <sheet name="HNL_island_arrivals_counts" sheetId="5" r:id="rId4"/>
    <sheet name="Kahului_HNL_arrivals" sheetId="6" r:id="rId5"/>
    <sheet name="Lihue_HNL_arrivals" sheetId="7" r:id="rId6"/>
    <sheet name="Kona_HNL_arrivals" sheetId="8" r:id="rId7"/>
    <sheet name="Hilo_HNL_arrivals" sheetId="9" r:id="rId8"/>
    <sheet name="HNL_island_arrivals_summary" sheetId="10" r:id="rId9"/>
  </sheets>
  <calcPr calcId="191029"/>
  <pivotCaches>
    <pivotCache cacheId="29" r:id="rId10"/>
    <pivotCache cacheId="33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8" l="1"/>
  <c r="I3" i="8" s="1"/>
  <c r="H4" i="8"/>
  <c r="I4" i="8" s="1"/>
  <c r="H5" i="8"/>
  <c r="I5" i="8"/>
  <c r="H6" i="8"/>
  <c r="I6" i="8"/>
  <c r="H7" i="8"/>
  <c r="I7" i="8" s="1"/>
  <c r="H8" i="8"/>
  <c r="I8" i="8" s="1"/>
  <c r="H9" i="8"/>
  <c r="I9" i="8"/>
  <c r="H10" i="8"/>
  <c r="I10" i="8"/>
  <c r="H11" i="8"/>
  <c r="I11" i="8" s="1"/>
  <c r="H12" i="8"/>
  <c r="I12" i="8" s="1"/>
  <c r="H13" i="8"/>
  <c r="I13" i="8"/>
  <c r="H14" i="8"/>
  <c r="I14" i="8"/>
  <c r="H15" i="8"/>
  <c r="I15" i="8" s="1"/>
  <c r="H16" i="8"/>
  <c r="I16" i="8" s="1"/>
  <c r="H2" i="8"/>
  <c r="I2" i="8" s="1"/>
  <c r="H3" i="9"/>
  <c r="I3" i="9" s="1"/>
  <c r="H4" i="9"/>
  <c r="I4" i="9"/>
  <c r="H5" i="9"/>
  <c r="I5" i="9" s="1"/>
  <c r="H6" i="9"/>
  <c r="I6" i="9"/>
  <c r="H7" i="9"/>
  <c r="I7" i="9" s="1"/>
  <c r="H8" i="9"/>
  <c r="I8" i="9"/>
  <c r="H9" i="9"/>
  <c r="I9" i="9"/>
  <c r="H10" i="9"/>
  <c r="I10" i="9"/>
  <c r="H11" i="9"/>
  <c r="I11" i="9" s="1"/>
  <c r="H12" i="9"/>
  <c r="I12" i="9"/>
  <c r="H13" i="9"/>
  <c r="I13" i="9"/>
  <c r="H2" i="9"/>
  <c r="I2" i="9" s="1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2" i="7"/>
  <c r="I2" i="7" s="1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" i="6"/>
</calcChain>
</file>

<file path=xl/sharedStrings.xml><?xml version="1.0" encoding="utf-8"?>
<sst xmlns="http://schemas.openxmlformats.org/spreadsheetml/2006/main" count="727" uniqueCount="83">
  <si>
    <t>Detailed Statistics Arrivals</t>
  </si>
  <si>
    <t>Destination Airport: Honolulu, HI: Daniel K Inouye International (HNL)</t>
  </si>
  <si>
    <t>Airline: Hawaiian Airlines Inc. (HA)</t>
  </si>
  <si>
    <t>Month(s): February</t>
  </si>
  <si>
    <t>Day(s): 26</t>
  </si>
  <si>
    <t>Year(s): 2025</t>
  </si>
  <si>
    <t>Carrier Code</t>
  </si>
  <si>
    <t>Date (MM/DD/YYYY)</t>
  </si>
  <si>
    <t>Flight Number</t>
  </si>
  <si>
    <t>Tail Number</t>
  </si>
  <si>
    <t>Origin Airport</t>
  </si>
  <si>
    <t>Scheduled Arrival Time</t>
  </si>
  <si>
    <t>Scheduled Elapsed Time (Minutes)</t>
  </si>
  <si>
    <t>HA</t>
  </si>
  <si>
    <t>N389HA</t>
  </si>
  <si>
    <t>LAX</t>
  </si>
  <si>
    <t>N781HA</t>
  </si>
  <si>
    <t>N379HA</t>
  </si>
  <si>
    <t>LAS</t>
  </si>
  <si>
    <t>N390HA</t>
  </si>
  <si>
    <t>N386HA</t>
  </si>
  <si>
    <t>N388HA</t>
  </si>
  <si>
    <t>SFO</t>
  </si>
  <si>
    <t>N374HA</t>
  </si>
  <si>
    <t>SAN</t>
  </si>
  <si>
    <t>N378HA</t>
  </si>
  <si>
    <t>N216HA</t>
  </si>
  <si>
    <t>SMF</t>
  </si>
  <si>
    <t>N373HA</t>
  </si>
  <si>
    <t>SEA</t>
  </si>
  <si>
    <t>N780HA</t>
  </si>
  <si>
    <t>PHX</t>
  </si>
  <si>
    <t>N218HA</t>
  </si>
  <si>
    <t>OAK</t>
  </si>
  <si>
    <t>N382HA</t>
  </si>
  <si>
    <t>PDX</t>
  </si>
  <si>
    <t>N393HA</t>
  </si>
  <si>
    <t>JFK</t>
  </si>
  <si>
    <t>N223HA</t>
  </si>
  <si>
    <t>LGB</t>
  </si>
  <si>
    <t>N205HA</t>
  </si>
  <si>
    <t>ONT</t>
  </si>
  <si>
    <t>N228HA</t>
  </si>
  <si>
    <t>SJC</t>
  </si>
  <si>
    <t>N202HA</t>
  </si>
  <si>
    <t>SLC</t>
  </si>
  <si>
    <t>N493HA</t>
  </si>
  <si>
    <t>ITO</t>
  </si>
  <si>
    <t>N494HA</t>
  </si>
  <si>
    <t>LIH</t>
  </si>
  <si>
    <t>N490HA</t>
  </si>
  <si>
    <t>OGG</t>
  </si>
  <si>
    <t>N495HA</t>
  </si>
  <si>
    <t>KOA</t>
  </si>
  <si>
    <t>N492HA</t>
  </si>
  <si>
    <t>N480HA</t>
  </si>
  <si>
    <t>N487HA</t>
  </si>
  <si>
    <t>N484HA</t>
  </si>
  <si>
    <t>N491HA</t>
  </si>
  <si>
    <t>N476HA</t>
  </si>
  <si>
    <t>N489HA</t>
  </si>
  <si>
    <t>N477HA</t>
  </si>
  <si>
    <t>N478HA</t>
  </si>
  <si>
    <t>N479HA</t>
  </si>
  <si>
    <t>N485HA</t>
  </si>
  <si>
    <t>N483HA</t>
  </si>
  <si>
    <t>SOURCE: Bureau of Transportation Statistics</t>
  </si>
  <si>
    <t>Sum of Flight Number</t>
  </si>
  <si>
    <t>Row Labels</t>
  </si>
  <si>
    <t>Grand Total</t>
  </si>
  <si>
    <t>Count of Flight Number</t>
  </si>
  <si>
    <t>z</t>
  </si>
  <si>
    <t>Average Airtime (mins)</t>
  </si>
  <si>
    <t>Average Airtime (hours)</t>
  </si>
  <si>
    <t>Origin</t>
  </si>
  <si>
    <t>Destination</t>
  </si>
  <si>
    <t>Demand</t>
  </si>
  <si>
    <t>Travel_time</t>
  </si>
  <si>
    <t>Kahului</t>
  </si>
  <si>
    <t>Lihue</t>
  </si>
  <si>
    <t>Kona</t>
  </si>
  <si>
    <t>Hilo</t>
  </si>
  <si>
    <t>HNL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</si>
</sst>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9" fillId="0" borderId="0" xfId="0" applyFont="1"/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14" fontId="18" fillId="0" borderId="10" xfId="0" applyNumberFormat="1" applyFont="1" applyBorder="1" applyAlignment="1">
      <alignment wrapText="1"/>
    </xf>
    <xf numFmtId="20" fontId="18" fillId="0" borderId="10" xfId="0" applyNumberFormat="1" applyFont="1" applyBorder="1" applyAlignment="1">
      <alignment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9" fillId="0" borderId="11" xfId="0" applyFont="1" applyBorder="1" applyAlignment="1">
      <alignment horizontal="center" vertical="center" wrapText="1"/>
    </xf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lison Noble Kane" refreshedDate="46094.535083333336" createdVersion="8" refreshedVersion="8" minRefreshableVersion="3" recordCount="82" xr:uid="{1C379BC6-1E1F-B14C-9D6F-408FBDA43A3B}">
  <cacheSource type="worksheet">
    <worksheetSource ref="A8:G90" sheet="HNL_arrivals"/>
  </cacheSource>
  <cacheFields count="7">
    <cacheField name="Carrier Code" numFmtId="0">
      <sharedItems/>
    </cacheField>
    <cacheField name="Date (MM/DD/YYYY)" numFmtId="14">
      <sharedItems containsSemiMixedTypes="0" containsNonDate="0" containsDate="1" containsString="0" minDate="2025-02-26T00:00:00" maxDate="2025-02-27T00:00:00"/>
    </cacheField>
    <cacheField name="Flight Number" numFmtId="0">
      <sharedItems containsSemiMixedTypes="0" containsString="0" containsNumber="1" containsInteger="1" minValue="1" maxValue="561"/>
    </cacheField>
    <cacheField name="Tail Number" numFmtId="0">
      <sharedItems/>
    </cacheField>
    <cacheField name="Origin Airport" numFmtId="0">
      <sharedItems count="18">
        <s v="LAX"/>
        <s v="LAS"/>
        <s v="SFO"/>
        <s v="SAN"/>
        <s v="SMF"/>
        <s v="SEA"/>
        <s v="PHX"/>
        <s v="OAK"/>
        <s v="PDX"/>
        <s v="JFK"/>
        <s v="LGB"/>
        <s v="ONT"/>
        <s v="SJC"/>
        <s v="SLC"/>
        <s v="ITO"/>
        <s v="LIH"/>
        <s v="OGG"/>
        <s v="KOA"/>
      </sharedItems>
    </cacheField>
    <cacheField name="Scheduled Arrival Time" numFmtId="20">
      <sharedItems containsSemiMixedTypes="0" containsNonDate="0" containsDate="1" containsString="0" minDate="1899-12-30T05:55:00" maxDate="1899-12-30T22:05:00"/>
    </cacheField>
    <cacheField name="Scheduled Elapsed Time (Minutes)" numFmtId="0">
      <sharedItems containsSemiMixedTypes="0" containsString="0" containsNumber="1" containsInteger="1" minValue="35" maxValue="6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lison Noble Kane" refreshedDate="46094.536855092592" createdVersion="8" refreshedVersion="8" minRefreshableVersion="3" recordCount="64" xr:uid="{7E003D2C-AFAB-C643-9DA9-60063F031859}">
  <cacheSource type="worksheet">
    <worksheetSource ref="A1:G65" sheet="HNL_island_arrivals"/>
  </cacheSource>
  <cacheFields count="7">
    <cacheField name="Carrier Code" numFmtId="0">
      <sharedItems/>
    </cacheField>
    <cacheField name="Date (MM/DD/YYYY)" numFmtId="14">
      <sharedItems containsSemiMixedTypes="0" containsNonDate="0" containsDate="1" containsString="0" minDate="2025-02-26T00:00:00" maxDate="2025-02-27T00:00:00"/>
    </cacheField>
    <cacheField name="Flight Number" numFmtId="0">
      <sharedItems containsSemiMixedTypes="0" containsString="0" containsNumber="1" containsInteger="1" minValue="101" maxValue="561"/>
    </cacheField>
    <cacheField name="Tail Number" numFmtId="0">
      <sharedItems/>
    </cacheField>
    <cacheField name="Origin Airport" numFmtId="0">
      <sharedItems count="4">
        <s v="ITO"/>
        <s v="LIH"/>
        <s v="OGG"/>
        <s v="KOA"/>
      </sharedItems>
    </cacheField>
    <cacheField name="Scheduled Arrival Time" numFmtId="20">
      <sharedItems containsSemiMixedTypes="0" containsNonDate="0" containsDate="1" containsString="0" minDate="1899-12-30T06:37:00" maxDate="1899-12-30T21:08:00"/>
    </cacheField>
    <cacheField name="Scheduled Elapsed Time (Minutes)" numFmtId="0">
      <sharedItems containsSemiMixedTypes="0" containsString="0" containsNumber="1" containsInteger="1" minValue="35" maxValue="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">
  <r>
    <s v="HA"/>
    <d v="2025-02-26T00:00:00"/>
    <n v="1"/>
    <s v="N389HA"/>
    <x v="0"/>
    <d v="1899-12-30T10:55:00"/>
    <n v="355"/>
  </r>
  <r>
    <s v="HA"/>
    <d v="2025-02-26T00:00:00"/>
    <n v="3"/>
    <s v="N781HA"/>
    <x v="0"/>
    <d v="1899-12-30T13:05:00"/>
    <n v="350"/>
  </r>
  <r>
    <s v="HA"/>
    <d v="2025-02-26T00:00:00"/>
    <n v="5"/>
    <s v="N379HA"/>
    <x v="1"/>
    <d v="1899-12-30T22:05:00"/>
    <n v="395"/>
  </r>
  <r>
    <s v="HA"/>
    <d v="2025-02-26T00:00:00"/>
    <n v="7"/>
    <s v="N390HA"/>
    <x v="1"/>
    <d v="1899-12-30T13:35:00"/>
    <n v="395"/>
  </r>
  <r>
    <s v="HA"/>
    <d v="2025-02-26T00:00:00"/>
    <n v="9"/>
    <s v="N386HA"/>
    <x v="0"/>
    <d v="1899-12-30T21:00:00"/>
    <n v="360"/>
  </r>
  <r>
    <s v="HA"/>
    <d v="2025-02-26T00:00:00"/>
    <n v="11"/>
    <s v="N388HA"/>
    <x v="2"/>
    <d v="1899-12-30T11:20:00"/>
    <n v="335"/>
  </r>
  <r>
    <s v="HA"/>
    <d v="2025-02-26T00:00:00"/>
    <n v="15"/>
    <s v="N374HA"/>
    <x v="3"/>
    <d v="1899-12-30T11:45:00"/>
    <n v="370"/>
  </r>
  <r>
    <s v="HA"/>
    <d v="2025-02-26T00:00:00"/>
    <n v="17"/>
    <s v="N378HA"/>
    <x v="1"/>
    <d v="1899-12-30T05:55:00"/>
    <n v="385"/>
  </r>
  <r>
    <s v="HA"/>
    <d v="2025-02-26T00:00:00"/>
    <n v="19"/>
    <s v="N216HA"/>
    <x v="4"/>
    <d v="1899-12-30T13:00:00"/>
    <n v="345"/>
  </r>
  <r>
    <s v="HA"/>
    <d v="2025-02-26T00:00:00"/>
    <n v="21"/>
    <s v="N373HA"/>
    <x v="5"/>
    <d v="1899-12-30T11:15:00"/>
    <n v="375"/>
  </r>
  <r>
    <s v="HA"/>
    <d v="2025-02-26T00:00:00"/>
    <n v="35"/>
    <s v="N780HA"/>
    <x v="6"/>
    <d v="1899-12-30T11:00:00"/>
    <n v="400"/>
  </r>
  <r>
    <s v="HA"/>
    <d v="2025-02-26T00:00:00"/>
    <n v="47"/>
    <s v="N218HA"/>
    <x v="7"/>
    <d v="1899-12-30T12:00:00"/>
    <n v="340"/>
  </r>
  <r>
    <s v="HA"/>
    <d v="2025-02-26T00:00:00"/>
    <n v="49"/>
    <s v="N382HA"/>
    <x v="8"/>
    <d v="1899-12-30T11:05:00"/>
    <n v="365"/>
  </r>
  <r>
    <s v="HA"/>
    <d v="2025-02-26T00:00:00"/>
    <n v="51"/>
    <s v="N393HA"/>
    <x v="9"/>
    <d v="1899-12-30T16:10:00"/>
    <n v="670"/>
  </r>
  <r>
    <s v="HA"/>
    <d v="2025-02-26T00:00:00"/>
    <n v="69"/>
    <s v="N223HA"/>
    <x v="10"/>
    <d v="1899-12-30T11:40:00"/>
    <n v="360"/>
  </r>
  <r>
    <s v="HA"/>
    <d v="2025-02-26T00:00:00"/>
    <n v="79"/>
    <s v="N205HA"/>
    <x v="11"/>
    <d v="1899-12-30T13:55:00"/>
    <n v="370"/>
  </r>
  <r>
    <s v="HA"/>
    <d v="2025-02-26T00:00:00"/>
    <n v="91"/>
    <s v="N228HA"/>
    <x v="12"/>
    <d v="1899-12-30T10:45:00"/>
    <n v="340"/>
  </r>
  <r>
    <s v="HA"/>
    <d v="2025-02-26T00:00:00"/>
    <n v="95"/>
    <s v="N202HA"/>
    <x v="13"/>
    <d v="1899-12-30T11:10:00"/>
    <n v="430"/>
  </r>
  <r>
    <s v="HA"/>
    <d v="2025-02-26T00:00:00"/>
    <n v="101"/>
    <s v="N493HA"/>
    <x v="14"/>
    <d v="1899-12-30T07:03:00"/>
    <n v="53"/>
  </r>
  <r>
    <s v="HA"/>
    <d v="2025-02-26T00:00:00"/>
    <n v="104"/>
    <s v="N494HA"/>
    <x v="15"/>
    <d v="1899-12-30T06:37:00"/>
    <n v="37"/>
  </r>
  <r>
    <s v="HA"/>
    <d v="2025-02-26T00:00:00"/>
    <n v="105"/>
    <s v="N490HA"/>
    <x v="16"/>
    <d v="1899-12-30T06:37:00"/>
    <n v="37"/>
  </r>
  <r>
    <s v="HA"/>
    <d v="2025-02-26T00:00:00"/>
    <n v="107"/>
    <s v="N495HA"/>
    <x v="17"/>
    <d v="1899-12-30T06:46:00"/>
    <n v="46"/>
  </r>
  <r>
    <s v="HA"/>
    <d v="2025-02-26T00:00:00"/>
    <n v="114"/>
    <s v="N492HA"/>
    <x v="15"/>
    <d v="1899-12-30T07:24:00"/>
    <n v="37"/>
  </r>
  <r>
    <s v="HA"/>
    <d v="2025-02-26T00:00:00"/>
    <n v="115"/>
    <s v="N480HA"/>
    <x v="16"/>
    <d v="1899-12-30T07:22:00"/>
    <n v="37"/>
  </r>
  <r>
    <s v="HA"/>
    <d v="2025-02-26T00:00:00"/>
    <n v="121"/>
    <s v="N487HA"/>
    <x v="14"/>
    <d v="1899-12-30T08:24:00"/>
    <n v="54"/>
  </r>
  <r>
    <s v="HA"/>
    <d v="2025-02-26T00:00:00"/>
    <n v="125"/>
    <s v="N484HA"/>
    <x v="16"/>
    <d v="1899-12-30T07:49:00"/>
    <n v="39"/>
  </r>
  <r>
    <s v="HA"/>
    <d v="2025-02-26T00:00:00"/>
    <n v="127"/>
    <s v="N491HA"/>
    <x v="17"/>
    <d v="1899-12-30T07:47:00"/>
    <n v="47"/>
  </r>
  <r>
    <s v="HA"/>
    <d v="2025-02-26T00:00:00"/>
    <n v="134"/>
    <s v="N476HA"/>
    <x v="15"/>
    <d v="1899-12-30T08:16:00"/>
    <n v="36"/>
  </r>
  <r>
    <s v="HA"/>
    <d v="2025-02-26T00:00:00"/>
    <n v="137"/>
    <s v="N489HA"/>
    <x v="17"/>
    <d v="1899-12-30T08:48:00"/>
    <n v="48"/>
  </r>
  <r>
    <s v="HA"/>
    <d v="2025-02-26T00:00:00"/>
    <n v="141"/>
    <s v="N477HA"/>
    <x v="14"/>
    <d v="1899-12-30T09:19:00"/>
    <n v="54"/>
  </r>
  <r>
    <s v="HA"/>
    <d v="2025-02-26T00:00:00"/>
    <n v="145"/>
    <s v="N478HA"/>
    <x v="16"/>
    <d v="1899-12-30T08:29:00"/>
    <n v="39"/>
  </r>
  <r>
    <s v="HA"/>
    <d v="2025-02-26T00:00:00"/>
    <n v="154"/>
    <s v="N490HA"/>
    <x v="15"/>
    <d v="1899-12-30T08:58:00"/>
    <n v="36"/>
  </r>
  <r>
    <s v="HA"/>
    <d v="2025-02-26T00:00:00"/>
    <n v="155"/>
    <s v="N495HA"/>
    <x v="16"/>
    <d v="1899-12-30T09:15:00"/>
    <n v="40"/>
  </r>
  <r>
    <s v="HA"/>
    <d v="2025-02-26T00:00:00"/>
    <n v="165"/>
    <s v="N480HA"/>
    <x v="16"/>
    <d v="1899-12-30T09:54:00"/>
    <n v="39"/>
  </r>
  <r>
    <s v="HA"/>
    <d v="2025-02-26T00:00:00"/>
    <n v="167"/>
    <s v="N493HA"/>
    <x v="17"/>
    <d v="1899-12-30T10:10:00"/>
    <n v="47"/>
  </r>
  <r>
    <s v="HA"/>
    <d v="2025-02-26T00:00:00"/>
    <n v="171"/>
    <s v="N492HA"/>
    <x v="14"/>
    <d v="1899-12-30T10:40:00"/>
    <n v="54"/>
  </r>
  <r>
    <s v="HA"/>
    <d v="2025-02-26T00:00:00"/>
    <n v="175"/>
    <s v="N494HA"/>
    <x v="16"/>
    <d v="1899-12-30T10:29:00"/>
    <n v="39"/>
  </r>
  <r>
    <s v="HA"/>
    <d v="2025-02-26T00:00:00"/>
    <n v="181"/>
    <s v="N476HA"/>
    <x v="14"/>
    <d v="1899-12-30T11:20:00"/>
    <n v="55"/>
  </r>
  <r>
    <s v="HA"/>
    <d v="2025-02-26T00:00:00"/>
    <n v="184"/>
    <s v="N478HA"/>
    <x v="15"/>
    <d v="1899-12-30T11:20:00"/>
    <n v="37"/>
  </r>
  <r>
    <s v="HA"/>
    <d v="2025-02-26T00:00:00"/>
    <n v="185"/>
    <s v="N479HA"/>
    <x v="16"/>
    <d v="1899-12-30T10:50:00"/>
    <n v="40"/>
  </r>
  <r>
    <s v="HA"/>
    <d v="2025-02-26T00:00:00"/>
    <n v="195"/>
    <s v="N485HA"/>
    <x v="16"/>
    <d v="1899-12-30T11:16:00"/>
    <n v="40"/>
  </r>
  <r>
    <s v="HA"/>
    <d v="2025-02-26T00:00:00"/>
    <n v="201"/>
    <s v="N489HA"/>
    <x v="14"/>
    <d v="1899-12-30T12:25:00"/>
    <n v="56"/>
  </r>
  <r>
    <s v="HA"/>
    <d v="2025-02-26T00:00:00"/>
    <n v="204"/>
    <s v="N491HA"/>
    <x v="15"/>
    <d v="1899-12-30T11:45:00"/>
    <n v="35"/>
  </r>
  <r>
    <s v="HA"/>
    <d v="2025-02-26T00:00:00"/>
    <n v="205"/>
    <s v="N490HA"/>
    <x v="16"/>
    <d v="1899-12-30T11:50:00"/>
    <n v="40"/>
  </r>
  <r>
    <s v="HA"/>
    <d v="2025-02-26T00:00:00"/>
    <n v="207"/>
    <s v="N477HA"/>
    <x v="17"/>
    <d v="1899-12-30T12:37:00"/>
    <n v="47"/>
  </r>
  <r>
    <s v="HA"/>
    <d v="2025-02-26T00:00:00"/>
    <n v="214"/>
    <s v="N495HA"/>
    <x v="15"/>
    <d v="1899-12-30T12:25:00"/>
    <n v="36"/>
  </r>
  <r>
    <s v="HA"/>
    <d v="2025-02-26T00:00:00"/>
    <n v="234"/>
    <s v="N494HA"/>
    <x v="15"/>
    <d v="1899-12-30T13:00:00"/>
    <n v="37"/>
  </r>
  <r>
    <s v="HA"/>
    <d v="2025-02-26T00:00:00"/>
    <n v="241"/>
    <s v="N492HA"/>
    <x v="14"/>
    <d v="1899-12-30T13:35:00"/>
    <n v="55"/>
  </r>
  <r>
    <s v="HA"/>
    <d v="2025-02-26T00:00:00"/>
    <n v="245"/>
    <s v="N493HA"/>
    <x v="16"/>
    <d v="1899-12-30T13:06:00"/>
    <n v="41"/>
  </r>
  <r>
    <s v="HA"/>
    <d v="2025-02-26T00:00:00"/>
    <n v="251"/>
    <s v="N485HA"/>
    <x v="14"/>
    <d v="1899-12-30T14:37:00"/>
    <n v="57"/>
  </r>
  <r>
    <s v="HA"/>
    <d v="2025-02-26T00:00:00"/>
    <n v="257"/>
    <s v="N487HA"/>
    <x v="17"/>
    <d v="1899-12-30T13:33:00"/>
    <n v="48"/>
  </r>
  <r>
    <s v="HA"/>
    <d v="2025-02-26T00:00:00"/>
    <n v="261"/>
    <s v="N492HA"/>
    <x v="14"/>
    <d v="1899-12-30T16:41:00"/>
    <n v="56"/>
  </r>
  <r>
    <s v="HA"/>
    <d v="2025-02-26T00:00:00"/>
    <n v="264"/>
    <s v="N484HA"/>
    <x v="15"/>
    <d v="1899-12-30T13:39:00"/>
    <n v="38"/>
  </r>
  <r>
    <s v="HA"/>
    <d v="2025-02-26T00:00:00"/>
    <n v="265"/>
    <s v="N479HA"/>
    <x v="16"/>
    <d v="1899-12-30T13:36:00"/>
    <n v="41"/>
  </r>
  <r>
    <s v="HA"/>
    <d v="2025-02-26T00:00:00"/>
    <n v="267"/>
    <s v="N483HA"/>
    <x v="17"/>
    <d v="1899-12-30T14:05:00"/>
    <n v="50"/>
  </r>
  <r>
    <s v="HA"/>
    <d v="2025-02-26T00:00:00"/>
    <n v="274"/>
    <s v="N490HA"/>
    <x v="15"/>
    <d v="1899-12-30T14:23:00"/>
    <n v="38"/>
  </r>
  <r>
    <s v="HA"/>
    <d v="2025-02-26T00:00:00"/>
    <n v="281"/>
    <s v="N490HA"/>
    <x v="14"/>
    <d v="1899-12-30T17:35:00"/>
    <n v="55"/>
  </r>
  <r>
    <s v="HA"/>
    <d v="2025-02-26T00:00:00"/>
    <n v="287"/>
    <s v="N491HA"/>
    <x v="17"/>
    <d v="1899-12-30T15:06:00"/>
    <n v="51"/>
  </r>
  <r>
    <s v="HA"/>
    <d v="2025-02-26T00:00:00"/>
    <n v="294"/>
    <s v="N477HA"/>
    <x v="15"/>
    <d v="1899-12-30T15:03:00"/>
    <n v="38"/>
  </r>
  <r>
    <s v="HA"/>
    <d v="2025-02-26T00:00:00"/>
    <n v="295"/>
    <s v="N495HA"/>
    <x v="16"/>
    <d v="1899-12-30T15:04:00"/>
    <n v="44"/>
  </r>
  <r>
    <s v="HA"/>
    <d v="2025-02-26T00:00:00"/>
    <n v="297"/>
    <s v="N480HA"/>
    <x v="17"/>
    <d v="1899-12-30T15:46:00"/>
    <n v="51"/>
  </r>
  <r>
    <s v="HA"/>
    <d v="2025-02-26T00:00:00"/>
    <n v="304"/>
    <s v="N478HA"/>
    <x v="15"/>
    <d v="1899-12-30T15:38:00"/>
    <n v="38"/>
  </r>
  <r>
    <s v="HA"/>
    <d v="2025-02-26T00:00:00"/>
    <n v="307"/>
    <s v="N494HA"/>
    <x v="17"/>
    <d v="1899-12-30T16:09:00"/>
    <n v="49"/>
  </r>
  <r>
    <s v="HA"/>
    <d v="2025-02-26T00:00:00"/>
    <n v="325"/>
    <s v="N487HA"/>
    <x v="16"/>
    <d v="1899-12-30T16:21:00"/>
    <n v="41"/>
  </r>
  <r>
    <s v="HA"/>
    <d v="2025-02-26T00:00:00"/>
    <n v="327"/>
    <s v="N491HA"/>
    <x v="17"/>
    <d v="1899-12-30T16:53:00"/>
    <n v="48"/>
  </r>
  <r>
    <s v="HA"/>
    <d v="2025-02-26T00:00:00"/>
    <n v="334"/>
    <s v="N489HA"/>
    <x v="15"/>
    <d v="1899-12-30T16:42:00"/>
    <n v="37"/>
  </r>
  <r>
    <s v="HA"/>
    <d v="2025-02-26T00:00:00"/>
    <n v="335"/>
    <s v="N483HA"/>
    <x v="16"/>
    <d v="1899-12-30T17:01:00"/>
    <n v="41"/>
  </r>
  <r>
    <s v="HA"/>
    <d v="2025-02-26T00:00:00"/>
    <n v="337"/>
    <s v="N493HA"/>
    <x v="17"/>
    <d v="1899-12-30T17:19:00"/>
    <n v="48"/>
  </r>
  <r>
    <s v="HA"/>
    <d v="2025-02-26T00:00:00"/>
    <n v="345"/>
    <s v="N485HA"/>
    <x v="16"/>
    <d v="1899-12-30T17:26:00"/>
    <n v="41"/>
  </r>
  <r>
    <s v="HA"/>
    <d v="2025-02-26T00:00:00"/>
    <n v="355"/>
    <s v="N479HA"/>
    <x v="16"/>
    <d v="1899-12-30T17:50:00"/>
    <n v="40"/>
  </r>
  <r>
    <s v="HA"/>
    <d v="2025-02-26T00:00:00"/>
    <n v="367"/>
    <s v="N495HA"/>
    <x v="17"/>
    <d v="1899-12-30T17:53:00"/>
    <n v="48"/>
  </r>
  <r>
    <s v="HA"/>
    <d v="2025-02-26T00:00:00"/>
    <n v="374"/>
    <s v="N477HA"/>
    <x v="15"/>
    <d v="1899-12-30T18:12:00"/>
    <n v="37"/>
  </r>
  <r>
    <s v="HA"/>
    <d v="2025-02-26T00:00:00"/>
    <n v="385"/>
    <s v="N494HA"/>
    <x v="16"/>
    <d v="1899-12-30T18:42:00"/>
    <n v="40"/>
  </r>
  <r>
    <s v="HA"/>
    <d v="2025-02-26T00:00:00"/>
    <n v="387"/>
    <s v="N480HA"/>
    <x v="17"/>
    <d v="1899-12-30T18:57:00"/>
    <n v="47"/>
  </r>
  <r>
    <s v="HA"/>
    <d v="2025-02-26T00:00:00"/>
    <n v="391"/>
    <s v="N478HA"/>
    <x v="14"/>
    <d v="1899-12-30T19:40:00"/>
    <n v="55"/>
  </r>
  <r>
    <s v="HA"/>
    <d v="2025-02-26T00:00:00"/>
    <n v="504"/>
    <s v="N483HA"/>
    <x v="15"/>
    <d v="1899-12-30T19:31:00"/>
    <n v="36"/>
  </r>
  <r>
    <s v="HA"/>
    <d v="2025-02-26T00:00:00"/>
    <n v="505"/>
    <s v="N479HA"/>
    <x v="16"/>
    <d v="1899-12-30T19:31:00"/>
    <n v="40"/>
  </r>
  <r>
    <s v="HA"/>
    <d v="2025-02-26T00:00:00"/>
    <n v="517"/>
    <s v="N493HA"/>
    <x v="17"/>
    <d v="1899-12-30T20:07:00"/>
    <n v="48"/>
  </r>
  <r>
    <s v="HA"/>
    <d v="2025-02-26T00:00:00"/>
    <n v="525"/>
    <s v="N485HA"/>
    <x v="16"/>
    <d v="1899-12-30T19:59:00"/>
    <n v="39"/>
  </r>
  <r>
    <s v="HA"/>
    <d v="2025-02-26T00:00:00"/>
    <n v="534"/>
    <s v="N477HA"/>
    <x v="15"/>
    <d v="1899-12-30T20:35:00"/>
    <n v="36"/>
  </r>
  <r>
    <s v="HA"/>
    <d v="2025-02-26T00:00:00"/>
    <n v="555"/>
    <s v="N494HA"/>
    <x v="16"/>
    <d v="1899-12-30T21:08:00"/>
    <n v="38"/>
  </r>
  <r>
    <s v="HA"/>
    <d v="2025-02-26T00:00:00"/>
    <n v="561"/>
    <s v="N495HA"/>
    <x v="14"/>
    <d v="1899-12-30T20:49:00"/>
    <n v="5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s v="HA"/>
    <d v="2025-02-26T00:00:00"/>
    <n v="101"/>
    <s v="N493HA"/>
    <x v="0"/>
    <d v="1899-12-30T07:03:00"/>
    <n v="53"/>
  </r>
  <r>
    <s v="HA"/>
    <d v="2025-02-26T00:00:00"/>
    <n v="104"/>
    <s v="N494HA"/>
    <x v="1"/>
    <d v="1899-12-30T06:37:00"/>
    <n v="37"/>
  </r>
  <r>
    <s v="HA"/>
    <d v="2025-02-26T00:00:00"/>
    <n v="105"/>
    <s v="N490HA"/>
    <x v="2"/>
    <d v="1899-12-30T06:37:00"/>
    <n v="37"/>
  </r>
  <r>
    <s v="HA"/>
    <d v="2025-02-26T00:00:00"/>
    <n v="107"/>
    <s v="N495HA"/>
    <x v="3"/>
    <d v="1899-12-30T06:46:00"/>
    <n v="46"/>
  </r>
  <r>
    <s v="HA"/>
    <d v="2025-02-26T00:00:00"/>
    <n v="114"/>
    <s v="N492HA"/>
    <x v="1"/>
    <d v="1899-12-30T07:24:00"/>
    <n v="37"/>
  </r>
  <r>
    <s v="HA"/>
    <d v="2025-02-26T00:00:00"/>
    <n v="115"/>
    <s v="N480HA"/>
    <x v="2"/>
    <d v="1899-12-30T07:22:00"/>
    <n v="37"/>
  </r>
  <r>
    <s v="HA"/>
    <d v="2025-02-26T00:00:00"/>
    <n v="121"/>
    <s v="N487HA"/>
    <x v="0"/>
    <d v="1899-12-30T08:24:00"/>
    <n v="54"/>
  </r>
  <r>
    <s v="HA"/>
    <d v="2025-02-26T00:00:00"/>
    <n v="125"/>
    <s v="N484HA"/>
    <x v="2"/>
    <d v="1899-12-30T07:49:00"/>
    <n v="39"/>
  </r>
  <r>
    <s v="HA"/>
    <d v="2025-02-26T00:00:00"/>
    <n v="127"/>
    <s v="N491HA"/>
    <x v="3"/>
    <d v="1899-12-30T07:47:00"/>
    <n v="47"/>
  </r>
  <r>
    <s v="HA"/>
    <d v="2025-02-26T00:00:00"/>
    <n v="134"/>
    <s v="N476HA"/>
    <x v="1"/>
    <d v="1899-12-30T08:16:00"/>
    <n v="36"/>
  </r>
  <r>
    <s v="HA"/>
    <d v="2025-02-26T00:00:00"/>
    <n v="137"/>
    <s v="N489HA"/>
    <x v="3"/>
    <d v="1899-12-30T08:48:00"/>
    <n v="48"/>
  </r>
  <r>
    <s v="HA"/>
    <d v="2025-02-26T00:00:00"/>
    <n v="141"/>
    <s v="N477HA"/>
    <x v="0"/>
    <d v="1899-12-30T09:19:00"/>
    <n v="54"/>
  </r>
  <r>
    <s v="HA"/>
    <d v="2025-02-26T00:00:00"/>
    <n v="145"/>
    <s v="N478HA"/>
    <x v="2"/>
    <d v="1899-12-30T08:29:00"/>
    <n v="39"/>
  </r>
  <r>
    <s v="HA"/>
    <d v="2025-02-26T00:00:00"/>
    <n v="154"/>
    <s v="N490HA"/>
    <x v="1"/>
    <d v="1899-12-30T08:58:00"/>
    <n v="36"/>
  </r>
  <r>
    <s v="HA"/>
    <d v="2025-02-26T00:00:00"/>
    <n v="155"/>
    <s v="N495HA"/>
    <x v="2"/>
    <d v="1899-12-30T09:15:00"/>
    <n v="40"/>
  </r>
  <r>
    <s v="HA"/>
    <d v="2025-02-26T00:00:00"/>
    <n v="165"/>
    <s v="N480HA"/>
    <x v="2"/>
    <d v="1899-12-30T09:54:00"/>
    <n v="39"/>
  </r>
  <r>
    <s v="HA"/>
    <d v="2025-02-26T00:00:00"/>
    <n v="167"/>
    <s v="N493HA"/>
    <x v="3"/>
    <d v="1899-12-30T10:10:00"/>
    <n v="47"/>
  </r>
  <r>
    <s v="HA"/>
    <d v="2025-02-26T00:00:00"/>
    <n v="171"/>
    <s v="N492HA"/>
    <x v="0"/>
    <d v="1899-12-30T10:40:00"/>
    <n v="54"/>
  </r>
  <r>
    <s v="HA"/>
    <d v="2025-02-26T00:00:00"/>
    <n v="175"/>
    <s v="N494HA"/>
    <x v="2"/>
    <d v="1899-12-30T10:29:00"/>
    <n v="39"/>
  </r>
  <r>
    <s v="HA"/>
    <d v="2025-02-26T00:00:00"/>
    <n v="181"/>
    <s v="N476HA"/>
    <x v="0"/>
    <d v="1899-12-30T11:20:00"/>
    <n v="55"/>
  </r>
  <r>
    <s v="HA"/>
    <d v="2025-02-26T00:00:00"/>
    <n v="184"/>
    <s v="N478HA"/>
    <x v="1"/>
    <d v="1899-12-30T11:20:00"/>
    <n v="37"/>
  </r>
  <r>
    <s v="HA"/>
    <d v="2025-02-26T00:00:00"/>
    <n v="185"/>
    <s v="N479HA"/>
    <x v="2"/>
    <d v="1899-12-30T10:50:00"/>
    <n v="40"/>
  </r>
  <r>
    <s v="HA"/>
    <d v="2025-02-26T00:00:00"/>
    <n v="195"/>
    <s v="N485HA"/>
    <x v="2"/>
    <d v="1899-12-30T11:16:00"/>
    <n v="40"/>
  </r>
  <r>
    <s v="HA"/>
    <d v="2025-02-26T00:00:00"/>
    <n v="201"/>
    <s v="N489HA"/>
    <x v="0"/>
    <d v="1899-12-30T12:25:00"/>
    <n v="56"/>
  </r>
  <r>
    <s v="HA"/>
    <d v="2025-02-26T00:00:00"/>
    <n v="204"/>
    <s v="N491HA"/>
    <x v="1"/>
    <d v="1899-12-30T11:45:00"/>
    <n v="35"/>
  </r>
  <r>
    <s v="HA"/>
    <d v="2025-02-26T00:00:00"/>
    <n v="205"/>
    <s v="N490HA"/>
    <x v="2"/>
    <d v="1899-12-30T11:50:00"/>
    <n v="40"/>
  </r>
  <r>
    <s v="HA"/>
    <d v="2025-02-26T00:00:00"/>
    <n v="207"/>
    <s v="N477HA"/>
    <x v="3"/>
    <d v="1899-12-30T12:37:00"/>
    <n v="47"/>
  </r>
  <r>
    <s v="HA"/>
    <d v="2025-02-26T00:00:00"/>
    <n v="214"/>
    <s v="N495HA"/>
    <x v="1"/>
    <d v="1899-12-30T12:25:00"/>
    <n v="36"/>
  </r>
  <r>
    <s v="HA"/>
    <d v="2025-02-26T00:00:00"/>
    <n v="234"/>
    <s v="N494HA"/>
    <x v="1"/>
    <d v="1899-12-30T13:00:00"/>
    <n v="37"/>
  </r>
  <r>
    <s v="HA"/>
    <d v="2025-02-26T00:00:00"/>
    <n v="241"/>
    <s v="N492HA"/>
    <x v="0"/>
    <d v="1899-12-30T13:35:00"/>
    <n v="55"/>
  </r>
  <r>
    <s v="HA"/>
    <d v="2025-02-26T00:00:00"/>
    <n v="245"/>
    <s v="N493HA"/>
    <x v="2"/>
    <d v="1899-12-30T13:06:00"/>
    <n v="41"/>
  </r>
  <r>
    <s v="HA"/>
    <d v="2025-02-26T00:00:00"/>
    <n v="251"/>
    <s v="N485HA"/>
    <x v="0"/>
    <d v="1899-12-30T14:37:00"/>
    <n v="57"/>
  </r>
  <r>
    <s v="HA"/>
    <d v="2025-02-26T00:00:00"/>
    <n v="257"/>
    <s v="N487HA"/>
    <x v="3"/>
    <d v="1899-12-30T13:33:00"/>
    <n v="48"/>
  </r>
  <r>
    <s v="HA"/>
    <d v="2025-02-26T00:00:00"/>
    <n v="261"/>
    <s v="N492HA"/>
    <x v="0"/>
    <d v="1899-12-30T16:41:00"/>
    <n v="56"/>
  </r>
  <r>
    <s v="HA"/>
    <d v="2025-02-26T00:00:00"/>
    <n v="264"/>
    <s v="N484HA"/>
    <x v="1"/>
    <d v="1899-12-30T13:39:00"/>
    <n v="38"/>
  </r>
  <r>
    <s v="HA"/>
    <d v="2025-02-26T00:00:00"/>
    <n v="265"/>
    <s v="N479HA"/>
    <x v="2"/>
    <d v="1899-12-30T13:36:00"/>
    <n v="41"/>
  </r>
  <r>
    <s v="HA"/>
    <d v="2025-02-26T00:00:00"/>
    <n v="267"/>
    <s v="N483HA"/>
    <x v="3"/>
    <d v="1899-12-30T14:05:00"/>
    <n v="50"/>
  </r>
  <r>
    <s v="HA"/>
    <d v="2025-02-26T00:00:00"/>
    <n v="274"/>
    <s v="N490HA"/>
    <x v="1"/>
    <d v="1899-12-30T14:23:00"/>
    <n v="38"/>
  </r>
  <r>
    <s v="HA"/>
    <d v="2025-02-26T00:00:00"/>
    <n v="281"/>
    <s v="N490HA"/>
    <x v="0"/>
    <d v="1899-12-30T17:35:00"/>
    <n v="55"/>
  </r>
  <r>
    <s v="HA"/>
    <d v="2025-02-26T00:00:00"/>
    <n v="287"/>
    <s v="N491HA"/>
    <x v="3"/>
    <d v="1899-12-30T15:06:00"/>
    <n v="51"/>
  </r>
  <r>
    <s v="HA"/>
    <d v="2025-02-26T00:00:00"/>
    <n v="294"/>
    <s v="N477HA"/>
    <x v="1"/>
    <d v="1899-12-30T15:03:00"/>
    <n v="38"/>
  </r>
  <r>
    <s v="HA"/>
    <d v="2025-02-26T00:00:00"/>
    <n v="295"/>
    <s v="N495HA"/>
    <x v="2"/>
    <d v="1899-12-30T15:04:00"/>
    <n v="44"/>
  </r>
  <r>
    <s v="HA"/>
    <d v="2025-02-26T00:00:00"/>
    <n v="297"/>
    <s v="N480HA"/>
    <x v="3"/>
    <d v="1899-12-30T15:46:00"/>
    <n v="51"/>
  </r>
  <r>
    <s v="HA"/>
    <d v="2025-02-26T00:00:00"/>
    <n v="304"/>
    <s v="N478HA"/>
    <x v="1"/>
    <d v="1899-12-30T15:38:00"/>
    <n v="38"/>
  </r>
  <r>
    <s v="HA"/>
    <d v="2025-02-26T00:00:00"/>
    <n v="307"/>
    <s v="N494HA"/>
    <x v="3"/>
    <d v="1899-12-30T16:09:00"/>
    <n v="49"/>
  </r>
  <r>
    <s v="HA"/>
    <d v="2025-02-26T00:00:00"/>
    <n v="325"/>
    <s v="N487HA"/>
    <x v="2"/>
    <d v="1899-12-30T16:21:00"/>
    <n v="41"/>
  </r>
  <r>
    <s v="HA"/>
    <d v="2025-02-26T00:00:00"/>
    <n v="327"/>
    <s v="N491HA"/>
    <x v="3"/>
    <d v="1899-12-30T16:53:00"/>
    <n v="48"/>
  </r>
  <r>
    <s v="HA"/>
    <d v="2025-02-26T00:00:00"/>
    <n v="334"/>
    <s v="N489HA"/>
    <x v="1"/>
    <d v="1899-12-30T16:42:00"/>
    <n v="37"/>
  </r>
  <r>
    <s v="HA"/>
    <d v="2025-02-26T00:00:00"/>
    <n v="335"/>
    <s v="N483HA"/>
    <x v="2"/>
    <d v="1899-12-30T17:01:00"/>
    <n v="41"/>
  </r>
  <r>
    <s v="HA"/>
    <d v="2025-02-26T00:00:00"/>
    <n v="337"/>
    <s v="N493HA"/>
    <x v="3"/>
    <d v="1899-12-30T17:19:00"/>
    <n v="48"/>
  </r>
  <r>
    <s v="HA"/>
    <d v="2025-02-26T00:00:00"/>
    <n v="345"/>
    <s v="N485HA"/>
    <x v="2"/>
    <d v="1899-12-30T17:26:00"/>
    <n v="41"/>
  </r>
  <r>
    <s v="HA"/>
    <d v="2025-02-26T00:00:00"/>
    <n v="355"/>
    <s v="N479HA"/>
    <x v="2"/>
    <d v="1899-12-30T17:50:00"/>
    <n v="40"/>
  </r>
  <r>
    <s v="HA"/>
    <d v="2025-02-26T00:00:00"/>
    <n v="367"/>
    <s v="N495HA"/>
    <x v="3"/>
    <d v="1899-12-30T17:53:00"/>
    <n v="48"/>
  </r>
  <r>
    <s v="HA"/>
    <d v="2025-02-26T00:00:00"/>
    <n v="374"/>
    <s v="N477HA"/>
    <x v="1"/>
    <d v="1899-12-30T18:12:00"/>
    <n v="37"/>
  </r>
  <r>
    <s v="HA"/>
    <d v="2025-02-26T00:00:00"/>
    <n v="385"/>
    <s v="N494HA"/>
    <x v="2"/>
    <d v="1899-12-30T18:42:00"/>
    <n v="40"/>
  </r>
  <r>
    <s v="HA"/>
    <d v="2025-02-26T00:00:00"/>
    <n v="387"/>
    <s v="N480HA"/>
    <x v="3"/>
    <d v="1899-12-30T18:57:00"/>
    <n v="47"/>
  </r>
  <r>
    <s v="HA"/>
    <d v="2025-02-26T00:00:00"/>
    <n v="391"/>
    <s v="N478HA"/>
    <x v="0"/>
    <d v="1899-12-30T19:40:00"/>
    <n v="55"/>
  </r>
  <r>
    <s v="HA"/>
    <d v="2025-02-26T00:00:00"/>
    <n v="504"/>
    <s v="N483HA"/>
    <x v="1"/>
    <d v="1899-12-30T19:31:00"/>
    <n v="36"/>
  </r>
  <r>
    <s v="HA"/>
    <d v="2025-02-26T00:00:00"/>
    <n v="505"/>
    <s v="N479HA"/>
    <x v="2"/>
    <d v="1899-12-30T19:31:00"/>
    <n v="40"/>
  </r>
  <r>
    <s v="HA"/>
    <d v="2025-02-26T00:00:00"/>
    <n v="517"/>
    <s v="N493HA"/>
    <x v="3"/>
    <d v="1899-12-30T20:07:00"/>
    <n v="48"/>
  </r>
  <r>
    <s v="HA"/>
    <d v="2025-02-26T00:00:00"/>
    <n v="525"/>
    <s v="N485HA"/>
    <x v="2"/>
    <d v="1899-12-30T19:59:00"/>
    <n v="39"/>
  </r>
  <r>
    <s v="HA"/>
    <d v="2025-02-26T00:00:00"/>
    <n v="534"/>
    <s v="N477HA"/>
    <x v="1"/>
    <d v="1899-12-30T20:35:00"/>
    <n v="36"/>
  </r>
  <r>
    <s v="HA"/>
    <d v="2025-02-26T00:00:00"/>
    <n v="555"/>
    <s v="N494HA"/>
    <x v="2"/>
    <d v="1899-12-30T21:08:00"/>
    <n v="38"/>
  </r>
  <r>
    <s v="HA"/>
    <d v="2025-02-26T00:00:00"/>
    <n v="561"/>
    <s v="N495HA"/>
    <x v="0"/>
    <d v="1899-12-30T20:49:00"/>
    <n v="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ECE3D-A9A5-CB4A-8D3A-99EFA88D4B28}" name="PivotTable7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/>
  <pivotFields count="7">
    <pivotField showAll="0"/>
    <pivotField numFmtId="14" showAll="0"/>
    <pivotField dataField="1" showAll="0"/>
    <pivotField showAll="0"/>
    <pivotField axis="axisRow" showAll="0">
      <items count="19">
        <item x="14"/>
        <item x="9"/>
        <item x="17"/>
        <item x="1"/>
        <item x="0"/>
        <item x="10"/>
        <item x="15"/>
        <item x="7"/>
        <item x="16"/>
        <item x="11"/>
        <item x="8"/>
        <item x="6"/>
        <item x="3"/>
        <item x="5"/>
        <item x="2"/>
        <item x="12"/>
        <item x="13"/>
        <item x="4"/>
        <item t="default"/>
      </items>
    </pivotField>
    <pivotField numFmtId="20" showAll="0"/>
    <pivotField showAll="0"/>
  </pivotFields>
  <rowFields count="1">
    <field x="4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Flight Number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E162BF-3892-BA43-8B30-8471A4C2635D}" name="PivotTable8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7">
    <pivotField showAll="0"/>
    <pivotField numFmtId="14" showAll="0"/>
    <pivotField dataField="1" showAll="0"/>
    <pivotField showAll="0"/>
    <pivotField axis="axisRow" showAll="0">
      <items count="5">
        <item x="0"/>
        <item x="3"/>
        <item x="1"/>
        <item x="2"/>
        <item t="default"/>
      </items>
    </pivotField>
    <pivotField numFmtId="20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Flight Number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5079A-18AF-0540-BBFB-700B0C035148}">
  <dimension ref="A1:G92"/>
  <sheetViews>
    <sheetView showGridLines="0" topLeftCell="A8" workbookViewId="0">
      <selection activeCell="A8" sqref="A8:G90"/>
    </sheetView>
  </sheetViews>
  <sheetFormatPr baseColWidth="10" defaultRowHeight="16" x14ac:dyDescent="0.2"/>
  <cols>
    <col min="1" max="1" width="9.6640625" bestFit="1" customWidth="1"/>
    <col min="2" max="2" width="14.6640625" bestFit="1" customWidth="1"/>
    <col min="4" max="4" width="9.5" bestFit="1" customWidth="1"/>
    <col min="5" max="5" width="10.5" bestFit="1" customWidth="1"/>
    <col min="6" max="6" width="17.1640625" bestFit="1" customWidth="1"/>
    <col min="7" max="7" width="25.1640625" bestFit="1" customWidth="1"/>
  </cols>
  <sheetData>
    <row r="1" spans="1:7" x14ac:dyDescent="0.2">
      <c r="A1" s="1" t="s">
        <v>0</v>
      </c>
    </row>
    <row r="2" spans="1:7" x14ac:dyDescent="0.2">
      <c r="A2" s="1" t="s">
        <v>1</v>
      </c>
    </row>
    <row r="3" spans="1:7" x14ac:dyDescent="0.2">
      <c r="A3" s="1" t="s">
        <v>2</v>
      </c>
    </row>
    <row r="4" spans="1:7" x14ac:dyDescent="0.2">
      <c r="A4" s="1" t="s">
        <v>3</v>
      </c>
    </row>
    <row r="5" spans="1:7" x14ac:dyDescent="0.2">
      <c r="A5" s="1" t="s">
        <v>4</v>
      </c>
    </row>
    <row r="6" spans="1:7" x14ac:dyDescent="0.2">
      <c r="A6" s="1" t="s">
        <v>5</v>
      </c>
    </row>
    <row r="7" spans="1:7" x14ac:dyDescent="0.2">
      <c r="A7" s="1"/>
    </row>
    <row r="8" spans="1:7" x14ac:dyDescent="0.2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</row>
    <row r="9" spans="1:7" x14ac:dyDescent="0.2">
      <c r="A9" s="3" t="s">
        <v>13</v>
      </c>
      <c r="B9" s="4">
        <v>45714</v>
      </c>
      <c r="C9" s="3">
        <v>1</v>
      </c>
      <c r="D9" s="3" t="s">
        <v>14</v>
      </c>
      <c r="E9" s="3" t="s">
        <v>15</v>
      </c>
      <c r="F9" s="5">
        <v>0.4548611111111111</v>
      </c>
      <c r="G9" s="3">
        <v>355</v>
      </c>
    </row>
    <row r="10" spans="1:7" x14ac:dyDescent="0.2">
      <c r="A10" s="3" t="s">
        <v>13</v>
      </c>
      <c r="B10" s="4">
        <v>45714</v>
      </c>
      <c r="C10" s="3">
        <v>3</v>
      </c>
      <c r="D10" s="3" t="s">
        <v>16</v>
      </c>
      <c r="E10" s="3" t="s">
        <v>15</v>
      </c>
      <c r="F10" s="5">
        <v>0.54513888888888884</v>
      </c>
      <c r="G10" s="3">
        <v>350</v>
      </c>
    </row>
    <row r="11" spans="1:7" x14ac:dyDescent="0.2">
      <c r="A11" s="3" t="s">
        <v>13</v>
      </c>
      <c r="B11" s="4">
        <v>45714</v>
      </c>
      <c r="C11" s="3">
        <v>5</v>
      </c>
      <c r="D11" s="3" t="s">
        <v>17</v>
      </c>
      <c r="E11" s="3" t="s">
        <v>18</v>
      </c>
      <c r="F11" s="5">
        <v>0.92013888888888884</v>
      </c>
      <c r="G11" s="3">
        <v>395</v>
      </c>
    </row>
    <row r="12" spans="1:7" x14ac:dyDescent="0.2">
      <c r="A12" s="3" t="s">
        <v>13</v>
      </c>
      <c r="B12" s="4">
        <v>45714</v>
      </c>
      <c r="C12" s="3">
        <v>7</v>
      </c>
      <c r="D12" s="3" t="s">
        <v>19</v>
      </c>
      <c r="E12" s="3" t="s">
        <v>18</v>
      </c>
      <c r="F12" s="5">
        <v>0.56597222222222221</v>
      </c>
      <c r="G12" s="3">
        <v>395</v>
      </c>
    </row>
    <row r="13" spans="1:7" x14ac:dyDescent="0.2">
      <c r="A13" s="3" t="s">
        <v>13</v>
      </c>
      <c r="B13" s="4">
        <v>45714</v>
      </c>
      <c r="C13" s="3">
        <v>9</v>
      </c>
      <c r="D13" s="3" t="s">
        <v>20</v>
      </c>
      <c r="E13" s="3" t="s">
        <v>15</v>
      </c>
      <c r="F13" s="5">
        <v>0.875</v>
      </c>
      <c r="G13" s="3">
        <v>360</v>
      </c>
    </row>
    <row r="14" spans="1:7" x14ac:dyDescent="0.2">
      <c r="A14" s="3" t="s">
        <v>13</v>
      </c>
      <c r="B14" s="4">
        <v>45714</v>
      </c>
      <c r="C14" s="3">
        <v>11</v>
      </c>
      <c r="D14" s="3" t="s">
        <v>21</v>
      </c>
      <c r="E14" s="3" t="s">
        <v>22</v>
      </c>
      <c r="F14" s="5">
        <v>0.47222222222222221</v>
      </c>
      <c r="G14" s="3">
        <v>335</v>
      </c>
    </row>
    <row r="15" spans="1:7" x14ac:dyDescent="0.2">
      <c r="A15" s="3" t="s">
        <v>13</v>
      </c>
      <c r="B15" s="4">
        <v>45714</v>
      </c>
      <c r="C15" s="3">
        <v>15</v>
      </c>
      <c r="D15" s="3" t="s">
        <v>23</v>
      </c>
      <c r="E15" s="3" t="s">
        <v>24</v>
      </c>
      <c r="F15" s="5">
        <v>0.48958333333333331</v>
      </c>
      <c r="G15" s="3">
        <v>370</v>
      </c>
    </row>
    <row r="16" spans="1:7" x14ac:dyDescent="0.2">
      <c r="A16" s="3" t="s">
        <v>13</v>
      </c>
      <c r="B16" s="4">
        <v>45714</v>
      </c>
      <c r="C16" s="3">
        <v>17</v>
      </c>
      <c r="D16" s="3" t="s">
        <v>25</v>
      </c>
      <c r="E16" s="3" t="s">
        <v>18</v>
      </c>
      <c r="F16" s="5">
        <v>0.24652777777777779</v>
      </c>
      <c r="G16" s="3">
        <v>385</v>
      </c>
    </row>
    <row r="17" spans="1:7" x14ac:dyDescent="0.2">
      <c r="A17" s="3" t="s">
        <v>13</v>
      </c>
      <c r="B17" s="4">
        <v>45714</v>
      </c>
      <c r="C17" s="3">
        <v>19</v>
      </c>
      <c r="D17" s="3" t="s">
        <v>26</v>
      </c>
      <c r="E17" s="3" t="s">
        <v>27</v>
      </c>
      <c r="F17" s="5">
        <v>0.54166666666666663</v>
      </c>
      <c r="G17" s="3">
        <v>345</v>
      </c>
    </row>
    <row r="18" spans="1:7" x14ac:dyDescent="0.2">
      <c r="A18" s="3" t="s">
        <v>13</v>
      </c>
      <c r="B18" s="4">
        <v>45714</v>
      </c>
      <c r="C18" s="3">
        <v>21</v>
      </c>
      <c r="D18" s="3" t="s">
        <v>28</v>
      </c>
      <c r="E18" s="3" t="s">
        <v>29</v>
      </c>
      <c r="F18" s="5">
        <v>0.46875</v>
      </c>
      <c r="G18" s="3">
        <v>375</v>
      </c>
    </row>
    <row r="19" spans="1:7" x14ac:dyDescent="0.2">
      <c r="A19" s="3" t="s">
        <v>13</v>
      </c>
      <c r="B19" s="4">
        <v>45714</v>
      </c>
      <c r="C19" s="3">
        <v>35</v>
      </c>
      <c r="D19" s="3" t="s">
        <v>30</v>
      </c>
      <c r="E19" s="3" t="s">
        <v>31</v>
      </c>
      <c r="F19" s="5">
        <v>0.45833333333333331</v>
      </c>
      <c r="G19" s="3">
        <v>400</v>
      </c>
    </row>
    <row r="20" spans="1:7" x14ac:dyDescent="0.2">
      <c r="A20" s="3" t="s">
        <v>13</v>
      </c>
      <c r="B20" s="4">
        <v>45714</v>
      </c>
      <c r="C20" s="3">
        <v>47</v>
      </c>
      <c r="D20" s="3" t="s">
        <v>32</v>
      </c>
      <c r="E20" s="3" t="s">
        <v>33</v>
      </c>
      <c r="F20" s="5">
        <v>0.5</v>
      </c>
      <c r="G20" s="3">
        <v>340</v>
      </c>
    </row>
    <row r="21" spans="1:7" x14ac:dyDescent="0.2">
      <c r="A21" s="3" t="s">
        <v>13</v>
      </c>
      <c r="B21" s="4">
        <v>45714</v>
      </c>
      <c r="C21" s="3">
        <v>49</v>
      </c>
      <c r="D21" s="3" t="s">
        <v>34</v>
      </c>
      <c r="E21" s="3" t="s">
        <v>35</v>
      </c>
      <c r="F21" s="5">
        <v>0.46180555555555558</v>
      </c>
      <c r="G21" s="3">
        <v>365</v>
      </c>
    </row>
    <row r="22" spans="1:7" x14ac:dyDescent="0.2">
      <c r="A22" s="3" t="s">
        <v>13</v>
      </c>
      <c r="B22" s="4">
        <v>45714</v>
      </c>
      <c r="C22" s="3">
        <v>51</v>
      </c>
      <c r="D22" s="3" t="s">
        <v>36</v>
      </c>
      <c r="E22" s="3" t="s">
        <v>37</v>
      </c>
      <c r="F22" s="5">
        <v>0.67361111111111116</v>
      </c>
      <c r="G22" s="3">
        <v>670</v>
      </c>
    </row>
    <row r="23" spans="1:7" x14ac:dyDescent="0.2">
      <c r="A23" s="3" t="s">
        <v>13</v>
      </c>
      <c r="B23" s="4">
        <v>45714</v>
      </c>
      <c r="C23" s="3">
        <v>69</v>
      </c>
      <c r="D23" s="3" t="s">
        <v>38</v>
      </c>
      <c r="E23" s="3" t="s">
        <v>39</v>
      </c>
      <c r="F23" s="5">
        <v>0.4861111111111111</v>
      </c>
      <c r="G23" s="3">
        <v>360</v>
      </c>
    </row>
    <row r="24" spans="1:7" x14ac:dyDescent="0.2">
      <c r="A24" s="3" t="s">
        <v>13</v>
      </c>
      <c r="B24" s="4">
        <v>45714</v>
      </c>
      <c r="C24" s="3">
        <v>79</v>
      </c>
      <c r="D24" s="3" t="s">
        <v>40</v>
      </c>
      <c r="E24" s="3" t="s">
        <v>41</v>
      </c>
      <c r="F24" s="5">
        <v>0.57986111111111116</v>
      </c>
      <c r="G24" s="3">
        <v>370</v>
      </c>
    </row>
    <row r="25" spans="1:7" x14ac:dyDescent="0.2">
      <c r="A25" s="3" t="s">
        <v>13</v>
      </c>
      <c r="B25" s="4">
        <v>45714</v>
      </c>
      <c r="C25" s="3">
        <v>91</v>
      </c>
      <c r="D25" s="3" t="s">
        <v>42</v>
      </c>
      <c r="E25" s="3" t="s">
        <v>43</v>
      </c>
      <c r="F25" s="5">
        <v>0.44791666666666669</v>
      </c>
      <c r="G25" s="3">
        <v>340</v>
      </c>
    </row>
    <row r="26" spans="1:7" x14ac:dyDescent="0.2">
      <c r="A26" s="3" t="s">
        <v>13</v>
      </c>
      <c r="B26" s="4">
        <v>45714</v>
      </c>
      <c r="C26" s="3">
        <v>95</v>
      </c>
      <c r="D26" s="3" t="s">
        <v>44</v>
      </c>
      <c r="E26" s="3" t="s">
        <v>45</v>
      </c>
      <c r="F26" s="5">
        <v>0.46527777777777779</v>
      </c>
      <c r="G26" s="3">
        <v>430</v>
      </c>
    </row>
    <row r="27" spans="1:7" x14ac:dyDescent="0.2">
      <c r="A27" s="3" t="s">
        <v>13</v>
      </c>
      <c r="B27" s="4">
        <v>45714</v>
      </c>
      <c r="C27" s="3">
        <v>101</v>
      </c>
      <c r="D27" s="3" t="s">
        <v>46</v>
      </c>
      <c r="E27" s="3" t="s">
        <v>47</v>
      </c>
      <c r="F27" s="5">
        <v>0.29375000000000001</v>
      </c>
      <c r="G27" s="3">
        <v>53</v>
      </c>
    </row>
    <row r="28" spans="1:7" x14ac:dyDescent="0.2">
      <c r="A28" s="3" t="s">
        <v>13</v>
      </c>
      <c r="B28" s="4">
        <v>45714</v>
      </c>
      <c r="C28" s="3">
        <v>104</v>
      </c>
      <c r="D28" s="3" t="s">
        <v>48</v>
      </c>
      <c r="E28" s="3" t="s">
        <v>49</v>
      </c>
      <c r="F28" s="5">
        <v>0.27569444444444446</v>
      </c>
      <c r="G28" s="3">
        <v>37</v>
      </c>
    </row>
    <row r="29" spans="1:7" x14ac:dyDescent="0.2">
      <c r="A29" s="3" t="s">
        <v>13</v>
      </c>
      <c r="B29" s="4">
        <v>45714</v>
      </c>
      <c r="C29" s="3">
        <v>105</v>
      </c>
      <c r="D29" s="3" t="s">
        <v>50</v>
      </c>
      <c r="E29" s="3" t="s">
        <v>51</v>
      </c>
      <c r="F29" s="5">
        <v>0.27569444444444446</v>
      </c>
      <c r="G29" s="3">
        <v>37</v>
      </c>
    </row>
    <row r="30" spans="1:7" x14ac:dyDescent="0.2">
      <c r="A30" s="3" t="s">
        <v>13</v>
      </c>
      <c r="B30" s="4">
        <v>45714</v>
      </c>
      <c r="C30" s="3">
        <v>107</v>
      </c>
      <c r="D30" s="3" t="s">
        <v>52</v>
      </c>
      <c r="E30" s="3" t="s">
        <v>53</v>
      </c>
      <c r="F30" s="5">
        <v>0.28194444444444444</v>
      </c>
      <c r="G30" s="3">
        <v>46</v>
      </c>
    </row>
    <row r="31" spans="1:7" x14ac:dyDescent="0.2">
      <c r="A31" s="3" t="s">
        <v>13</v>
      </c>
      <c r="B31" s="4">
        <v>45714</v>
      </c>
      <c r="C31" s="3">
        <v>114</v>
      </c>
      <c r="D31" s="3" t="s">
        <v>54</v>
      </c>
      <c r="E31" s="3" t="s">
        <v>49</v>
      </c>
      <c r="F31" s="5">
        <v>0.30833333333333335</v>
      </c>
      <c r="G31" s="3">
        <v>37</v>
      </c>
    </row>
    <row r="32" spans="1:7" x14ac:dyDescent="0.2">
      <c r="A32" s="3" t="s">
        <v>13</v>
      </c>
      <c r="B32" s="4">
        <v>45714</v>
      </c>
      <c r="C32" s="3">
        <v>115</v>
      </c>
      <c r="D32" s="3" t="s">
        <v>55</v>
      </c>
      <c r="E32" s="3" t="s">
        <v>51</v>
      </c>
      <c r="F32" s="5">
        <v>0.30694444444444446</v>
      </c>
      <c r="G32" s="3">
        <v>37</v>
      </c>
    </row>
    <row r="33" spans="1:7" x14ac:dyDescent="0.2">
      <c r="A33" s="3" t="s">
        <v>13</v>
      </c>
      <c r="B33" s="4">
        <v>45714</v>
      </c>
      <c r="C33" s="3">
        <v>121</v>
      </c>
      <c r="D33" s="3" t="s">
        <v>56</v>
      </c>
      <c r="E33" s="3" t="s">
        <v>47</v>
      </c>
      <c r="F33" s="5">
        <v>0.35</v>
      </c>
      <c r="G33" s="3">
        <v>54</v>
      </c>
    </row>
    <row r="34" spans="1:7" x14ac:dyDescent="0.2">
      <c r="A34" s="3" t="s">
        <v>13</v>
      </c>
      <c r="B34" s="4">
        <v>45714</v>
      </c>
      <c r="C34" s="3">
        <v>125</v>
      </c>
      <c r="D34" s="3" t="s">
        <v>57</v>
      </c>
      <c r="E34" s="3" t="s">
        <v>51</v>
      </c>
      <c r="F34" s="5">
        <v>0.32569444444444445</v>
      </c>
      <c r="G34" s="3">
        <v>39</v>
      </c>
    </row>
    <row r="35" spans="1:7" x14ac:dyDescent="0.2">
      <c r="A35" s="3" t="s">
        <v>13</v>
      </c>
      <c r="B35" s="4">
        <v>45714</v>
      </c>
      <c r="C35" s="3">
        <v>127</v>
      </c>
      <c r="D35" s="3" t="s">
        <v>58</v>
      </c>
      <c r="E35" s="3" t="s">
        <v>53</v>
      </c>
      <c r="F35" s="5">
        <v>0.32430555555555557</v>
      </c>
      <c r="G35" s="3">
        <v>47</v>
      </c>
    </row>
    <row r="36" spans="1:7" x14ac:dyDescent="0.2">
      <c r="A36" s="3" t="s">
        <v>13</v>
      </c>
      <c r="B36" s="4">
        <v>45714</v>
      </c>
      <c r="C36" s="3">
        <v>134</v>
      </c>
      <c r="D36" s="3" t="s">
        <v>59</v>
      </c>
      <c r="E36" s="3" t="s">
        <v>49</v>
      </c>
      <c r="F36" s="5">
        <v>0.34444444444444444</v>
      </c>
      <c r="G36" s="3">
        <v>36</v>
      </c>
    </row>
    <row r="37" spans="1:7" x14ac:dyDescent="0.2">
      <c r="A37" s="3" t="s">
        <v>13</v>
      </c>
      <c r="B37" s="4">
        <v>45714</v>
      </c>
      <c r="C37" s="3">
        <v>137</v>
      </c>
      <c r="D37" s="3" t="s">
        <v>60</v>
      </c>
      <c r="E37" s="3" t="s">
        <v>53</v>
      </c>
      <c r="F37" s="5">
        <v>0.36666666666666664</v>
      </c>
      <c r="G37" s="3">
        <v>48</v>
      </c>
    </row>
    <row r="38" spans="1:7" x14ac:dyDescent="0.2">
      <c r="A38" s="3" t="s">
        <v>13</v>
      </c>
      <c r="B38" s="4">
        <v>45714</v>
      </c>
      <c r="C38" s="3">
        <v>141</v>
      </c>
      <c r="D38" s="3" t="s">
        <v>61</v>
      </c>
      <c r="E38" s="3" t="s">
        <v>47</v>
      </c>
      <c r="F38" s="5">
        <v>0.38819444444444445</v>
      </c>
      <c r="G38" s="3">
        <v>54</v>
      </c>
    </row>
    <row r="39" spans="1:7" x14ac:dyDescent="0.2">
      <c r="A39" s="3" t="s">
        <v>13</v>
      </c>
      <c r="B39" s="4">
        <v>45714</v>
      </c>
      <c r="C39" s="3">
        <v>145</v>
      </c>
      <c r="D39" s="3" t="s">
        <v>62</v>
      </c>
      <c r="E39" s="3" t="s">
        <v>51</v>
      </c>
      <c r="F39" s="5">
        <v>0.35347222222222224</v>
      </c>
      <c r="G39" s="3">
        <v>39</v>
      </c>
    </row>
    <row r="40" spans="1:7" x14ac:dyDescent="0.2">
      <c r="A40" s="3" t="s">
        <v>13</v>
      </c>
      <c r="B40" s="4">
        <v>45714</v>
      </c>
      <c r="C40" s="3">
        <v>154</v>
      </c>
      <c r="D40" s="3" t="s">
        <v>50</v>
      </c>
      <c r="E40" s="3" t="s">
        <v>49</v>
      </c>
      <c r="F40" s="5">
        <v>0.37361111111111112</v>
      </c>
      <c r="G40" s="3">
        <v>36</v>
      </c>
    </row>
    <row r="41" spans="1:7" x14ac:dyDescent="0.2">
      <c r="A41" s="3" t="s">
        <v>13</v>
      </c>
      <c r="B41" s="4">
        <v>45714</v>
      </c>
      <c r="C41" s="3">
        <v>155</v>
      </c>
      <c r="D41" s="3" t="s">
        <v>52</v>
      </c>
      <c r="E41" s="3" t="s">
        <v>51</v>
      </c>
      <c r="F41" s="5">
        <v>0.38541666666666669</v>
      </c>
      <c r="G41" s="3">
        <v>40</v>
      </c>
    </row>
    <row r="42" spans="1:7" x14ac:dyDescent="0.2">
      <c r="A42" s="3" t="s">
        <v>13</v>
      </c>
      <c r="B42" s="4">
        <v>45714</v>
      </c>
      <c r="C42" s="3">
        <v>165</v>
      </c>
      <c r="D42" s="3" t="s">
        <v>55</v>
      </c>
      <c r="E42" s="3" t="s">
        <v>51</v>
      </c>
      <c r="F42" s="5">
        <v>0.41249999999999998</v>
      </c>
      <c r="G42" s="3">
        <v>39</v>
      </c>
    </row>
    <row r="43" spans="1:7" x14ac:dyDescent="0.2">
      <c r="A43" s="3" t="s">
        <v>13</v>
      </c>
      <c r="B43" s="4">
        <v>45714</v>
      </c>
      <c r="C43" s="3">
        <v>167</v>
      </c>
      <c r="D43" s="3" t="s">
        <v>46</v>
      </c>
      <c r="E43" s="3" t="s">
        <v>53</v>
      </c>
      <c r="F43" s="5">
        <v>0.4236111111111111</v>
      </c>
      <c r="G43" s="3">
        <v>47</v>
      </c>
    </row>
    <row r="44" spans="1:7" x14ac:dyDescent="0.2">
      <c r="A44" s="3" t="s">
        <v>13</v>
      </c>
      <c r="B44" s="4">
        <v>45714</v>
      </c>
      <c r="C44" s="3">
        <v>171</v>
      </c>
      <c r="D44" s="3" t="s">
        <v>54</v>
      </c>
      <c r="E44" s="3" t="s">
        <v>47</v>
      </c>
      <c r="F44" s="5">
        <v>0.44444444444444442</v>
      </c>
      <c r="G44" s="3">
        <v>54</v>
      </c>
    </row>
    <row r="45" spans="1:7" x14ac:dyDescent="0.2">
      <c r="A45" s="3" t="s">
        <v>13</v>
      </c>
      <c r="B45" s="4">
        <v>45714</v>
      </c>
      <c r="C45" s="3">
        <v>175</v>
      </c>
      <c r="D45" s="3" t="s">
        <v>48</v>
      </c>
      <c r="E45" s="3" t="s">
        <v>51</v>
      </c>
      <c r="F45" s="5">
        <v>0.43680555555555556</v>
      </c>
      <c r="G45" s="3">
        <v>39</v>
      </c>
    </row>
    <row r="46" spans="1:7" x14ac:dyDescent="0.2">
      <c r="A46" s="3" t="s">
        <v>13</v>
      </c>
      <c r="B46" s="4">
        <v>45714</v>
      </c>
      <c r="C46" s="3">
        <v>181</v>
      </c>
      <c r="D46" s="3" t="s">
        <v>59</v>
      </c>
      <c r="E46" s="3" t="s">
        <v>47</v>
      </c>
      <c r="F46" s="5">
        <v>0.47222222222222221</v>
      </c>
      <c r="G46" s="3">
        <v>55</v>
      </c>
    </row>
    <row r="47" spans="1:7" x14ac:dyDescent="0.2">
      <c r="A47" s="3" t="s">
        <v>13</v>
      </c>
      <c r="B47" s="4">
        <v>45714</v>
      </c>
      <c r="C47" s="3">
        <v>184</v>
      </c>
      <c r="D47" s="3" t="s">
        <v>62</v>
      </c>
      <c r="E47" s="3" t="s">
        <v>49</v>
      </c>
      <c r="F47" s="5">
        <v>0.47222222222222221</v>
      </c>
      <c r="G47" s="3">
        <v>37</v>
      </c>
    </row>
    <row r="48" spans="1:7" x14ac:dyDescent="0.2">
      <c r="A48" s="3" t="s">
        <v>13</v>
      </c>
      <c r="B48" s="4">
        <v>45714</v>
      </c>
      <c r="C48" s="3">
        <v>185</v>
      </c>
      <c r="D48" s="3" t="s">
        <v>63</v>
      </c>
      <c r="E48" s="3" t="s">
        <v>51</v>
      </c>
      <c r="F48" s="5">
        <v>0.4513888888888889</v>
      </c>
      <c r="G48" s="3">
        <v>40</v>
      </c>
    </row>
    <row r="49" spans="1:7" x14ac:dyDescent="0.2">
      <c r="A49" s="3" t="s">
        <v>13</v>
      </c>
      <c r="B49" s="4">
        <v>45714</v>
      </c>
      <c r="C49" s="3">
        <v>195</v>
      </c>
      <c r="D49" s="3" t="s">
        <v>64</v>
      </c>
      <c r="E49" s="3" t="s">
        <v>51</v>
      </c>
      <c r="F49" s="5">
        <v>0.46944444444444444</v>
      </c>
      <c r="G49" s="3">
        <v>40</v>
      </c>
    </row>
    <row r="50" spans="1:7" x14ac:dyDescent="0.2">
      <c r="A50" s="3" t="s">
        <v>13</v>
      </c>
      <c r="B50" s="4">
        <v>45714</v>
      </c>
      <c r="C50" s="3">
        <v>201</v>
      </c>
      <c r="D50" s="3" t="s">
        <v>60</v>
      </c>
      <c r="E50" s="3" t="s">
        <v>47</v>
      </c>
      <c r="F50" s="5">
        <v>0.51736111111111116</v>
      </c>
      <c r="G50" s="3">
        <v>56</v>
      </c>
    </row>
    <row r="51" spans="1:7" x14ac:dyDescent="0.2">
      <c r="A51" s="3" t="s">
        <v>13</v>
      </c>
      <c r="B51" s="4">
        <v>45714</v>
      </c>
      <c r="C51" s="3">
        <v>204</v>
      </c>
      <c r="D51" s="3" t="s">
        <v>58</v>
      </c>
      <c r="E51" s="3" t="s">
        <v>49</v>
      </c>
      <c r="F51" s="5">
        <v>0.48958333333333331</v>
      </c>
      <c r="G51" s="3">
        <v>35</v>
      </c>
    </row>
    <row r="52" spans="1:7" x14ac:dyDescent="0.2">
      <c r="A52" s="3" t="s">
        <v>13</v>
      </c>
      <c r="B52" s="4">
        <v>45714</v>
      </c>
      <c r="C52" s="3">
        <v>205</v>
      </c>
      <c r="D52" s="3" t="s">
        <v>50</v>
      </c>
      <c r="E52" s="3" t="s">
        <v>51</v>
      </c>
      <c r="F52" s="5">
        <v>0.49305555555555558</v>
      </c>
      <c r="G52" s="3">
        <v>40</v>
      </c>
    </row>
    <row r="53" spans="1:7" x14ac:dyDescent="0.2">
      <c r="A53" s="3" t="s">
        <v>13</v>
      </c>
      <c r="B53" s="4">
        <v>45714</v>
      </c>
      <c r="C53" s="3">
        <v>207</v>
      </c>
      <c r="D53" s="3" t="s">
        <v>61</v>
      </c>
      <c r="E53" s="3" t="s">
        <v>53</v>
      </c>
      <c r="F53" s="5">
        <v>0.52569444444444446</v>
      </c>
      <c r="G53" s="3">
        <v>47</v>
      </c>
    </row>
    <row r="54" spans="1:7" x14ac:dyDescent="0.2">
      <c r="A54" s="3" t="s">
        <v>13</v>
      </c>
      <c r="B54" s="4">
        <v>45714</v>
      </c>
      <c r="C54" s="3">
        <v>214</v>
      </c>
      <c r="D54" s="3" t="s">
        <v>52</v>
      </c>
      <c r="E54" s="3" t="s">
        <v>49</v>
      </c>
      <c r="F54" s="5">
        <v>0.51736111111111116</v>
      </c>
      <c r="G54" s="3">
        <v>36</v>
      </c>
    </row>
    <row r="55" spans="1:7" x14ac:dyDescent="0.2">
      <c r="A55" s="3" t="s">
        <v>13</v>
      </c>
      <c r="B55" s="4">
        <v>45714</v>
      </c>
      <c r="C55" s="3">
        <v>234</v>
      </c>
      <c r="D55" s="3" t="s">
        <v>48</v>
      </c>
      <c r="E55" s="3" t="s">
        <v>49</v>
      </c>
      <c r="F55" s="5">
        <v>0.54166666666666663</v>
      </c>
      <c r="G55" s="3">
        <v>37</v>
      </c>
    </row>
    <row r="56" spans="1:7" x14ac:dyDescent="0.2">
      <c r="A56" s="3" t="s">
        <v>13</v>
      </c>
      <c r="B56" s="4">
        <v>45714</v>
      </c>
      <c r="C56" s="3">
        <v>241</v>
      </c>
      <c r="D56" s="3" t="s">
        <v>54</v>
      </c>
      <c r="E56" s="3" t="s">
        <v>47</v>
      </c>
      <c r="F56" s="5">
        <v>0.56597222222222221</v>
      </c>
      <c r="G56" s="3">
        <v>55</v>
      </c>
    </row>
    <row r="57" spans="1:7" x14ac:dyDescent="0.2">
      <c r="A57" s="3" t="s">
        <v>13</v>
      </c>
      <c r="B57" s="4">
        <v>45714</v>
      </c>
      <c r="C57" s="3">
        <v>245</v>
      </c>
      <c r="D57" s="3" t="s">
        <v>46</v>
      </c>
      <c r="E57" s="3" t="s">
        <v>51</v>
      </c>
      <c r="F57" s="5">
        <v>0.54583333333333328</v>
      </c>
      <c r="G57" s="3">
        <v>41</v>
      </c>
    </row>
    <row r="58" spans="1:7" x14ac:dyDescent="0.2">
      <c r="A58" s="3" t="s">
        <v>13</v>
      </c>
      <c r="B58" s="4">
        <v>45714</v>
      </c>
      <c r="C58" s="3">
        <v>251</v>
      </c>
      <c r="D58" s="3" t="s">
        <v>64</v>
      </c>
      <c r="E58" s="3" t="s">
        <v>47</v>
      </c>
      <c r="F58" s="5">
        <v>0.60902777777777772</v>
      </c>
      <c r="G58" s="3">
        <v>57</v>
      </c>
    </row>
    <row r="59" spans="1:7" x14ac:dyDescent="0.2">
      <c r="A59" s="3" t="s">
        <v>13</v>
      </c>
      <c r="B59" s="4">
        <v>45714</v>
      </c>
      <c r="C59" s="3">
        <v>257</v>
      </c>
      <c r="D59" s="3" t="s">
        <v>56</v>
      </c>
      <c r="E59" s="3" t="s">
        <v>53</v>
      </c>
      <c r="F59" s="5">
        <v>0.56458333333333333</v>
      </c>
      <c r="G59" s="3">
        <v>48</v>
      </c>
    </row>
    <row r="60" spans="1:7" x14ac:dyDescent="0.2">
      <c r="A60" s="3" t="s">
        <v>13</v>
      </c>
      <c r="B60" s="4">
        <v>45714</v>
      </c>
      <c r="C60" s="3">
        <v>261</v>
      </c>
      <c r="D60" s="3" t="s">
        <v>54</v>
      </c>
      <c r="E60" s="3" t="s">
        <v>47</v>
      </c>
      <c r="F60" s="5">
        <v>0.69513888888888886</v>
      </c>
      <c r="G60" s="3">
        <v>56</v>
      </c>
    </row>
    <row r="61" spans="1:7" x14ac:dyDescent="0.2">
      <c r="A61" s="3" t="s">
        <v>13</v>
      </c>
      <c r="B61" s="4">
        <v>45714</v>
      </c>
      <c r="C61" s="3">
        <v>264</v>
      </c>
      <c r="D61" s="3" t="s">
        <v>57</v>
      </c>
      <c r="E61" s="3" t="s">
        <v>49</v>
      </c>
      <c r="F61" s="5">
        <v>0.56874999999999998</v>
      </c>
      <c r="G61" s="3">
        <v>38</v>
      </c>
    </row>
    <row r="62" spans="1:7" x14ac:dyDescent="0.2">
      <c r="A62" s="3" t="s">
        <v>13</v>
      </c>
      <c r="B62" s="4">
        <v>45714</v>
      </c>
      <c r="C62" s="3">
        <v>265</v>
      </c>
      <c r="D62" s="3" t="s">
        <v>63</v>
      </c>
      <c r="E62" s="3" t="s">
        <v>51</v>
      </c>
      <c r="F62" s="5">
        <v>0.56666666666666665</v>
      </c>
      <c r="G62" s="3">
        <v>41</v>
      </c>
    </row>
    <row r="63" spans="1:7" x14ac:dyDescent="0.2">
      <c r="A63" s="3" t="s">
        <v>13</v>
      </c>
      <c r="B63" s="4">
        <v>45714</v>
      </c>
      <c r="C63" s="3">
        <v>267</v>
      </c>
      <c r="D63" s="3" t="s">
        <v>65</v>
      </c>
      <c r="E63" s="3" t="s">
        <v>53</v>
      </c>
      <c r="F63" s="5">
        <v>0.58680555555555558</v>
      </c>
      <c r="G63" s="3">
        <v>50</v>
      </c>
    </row>
    <row r="64" spans="1:7" x14ac:dyDescent="0.2">
      <c r="A64" s="3" t="s">
        <v>13</v>
      </c>
      <c r="B64" s="4">
        <v>45714</v>
      </c>
      <c r="C64" s="3">
        <v>274</v>
      </c>
      <c r="D64" s="3" t="s">
        <v>50</v>
      </c>
      <c r="E64" s="3" t="s">
        <v>49</v>
      </c>
      <c r="F64" s="5">
        <v>0.59930555555555554</v>
      </c>
      <c r="G64" s="3">
        <v>38</v>
      </c>
    </row>
    <row r="65" spans="1:7" x14ac:dyDescent="0.2">
      <c r="A65" s="3" t="s">
        <v>13</v>
      </c>
      <c r="B65" s="4">
        <v>45714</v>
      </c>
      <c r="C65" s="3">
        <v>281</v>
      </c>
      <c r="D65" s="3" t="s">
        <v>50</v>
      </c>
      <c r="E65" s="3" t="s">
        <v>47</v>
      </c>
      <c r="F65" s="5">
        <v>0.73263888888888884</v>
      </c>
      <c r="G65" s="3">
        <v>55</v>
      </c>
    </row>
    <row r="66" spans="1:7" x14ac:dyDescent="0.2">
      <c r="A66" s="3" t="s">
        <v>13</v>
      </c>
      <c r="B66" s="4">
        <v>45714</v>
      </c>
      <c r="C66" s="3">
        <v>287</v>
      </c>
      <c r="D66" s="3" t="s">
        <v>58</v>
      </c>
      <c r="E66" s="3" t="s">
        <v>53</v>
      </c>
      <c r="F66" s="5">
        <v>0.62916666666666665</v>
      </c>
      <c r="G66" s="3">
        <v>51</v>
      </c>
    </row>
    <row r="67" spans="1:7" x14ac:dyDescent="0.2">
      <c r="A67" s="3" t="s">
        <v>13</v>
      </c>
      <c r="B67" s="4">
        <v>45714</v>
      </c>
      <c r="C67" s="3">
        <v>294</v>
      </c>
      <c r="D67" s="3" t="s">
        <v>61</v>
      </c>
      <c r="E67" s="3" t="s">
        <v>49</v>
      </c>
      <c r="F67" s="5">
        <v>0.62708333333333333</v>
      </c>
      <c r="G67" s="3">
        <v>38</v>
      </c>
    </row>
    <row r="68" spans="1:7" x14ac:dyDescent="0.2">
      <c r="A68" s="3" t="s">
        <v>13</v>
      </c>
      <c r="B68" s="4">
        <v>45714</v>
      </c>
      <c r="C68" s="3">
        <v>295</v>
      </c>
      <c r="D68" s="3" t="s">
        <v>52</v>
      </c>
      <c r="E68" s="3" t="s">
        <v>51</v>
      </c>
      <c r="F68" s="5">
        <v>0.62777777777777777</v>
      </c>
      <c r="G68" s="3">
        <v>44</v>
      </c>
    </row>
    <row r="69" spans="1:7" x14ac:dyDescent="0.2">
      <c r="A69" s="3" t="s">
        <v>13</v>
      </c>
      <c r="B69" s="4">
        <v>45714</v>
      </c>
      <c r="C69" s="3">
        <v>297</v>
      </c>
      <c r="D69" s="3" t="s">
        <v>55</v>
      </c>
      <c r="E69" s="3" t="s">
        <v>53</v>
      </c>
      <c r="F69" s="5">
        <v>0.65694444444444444</v>
      </c>
      <c r="G69" s="3">
        <v>51</v>
      </c>
    </row>
    <row r="70" spans="1:7" x14ac:dyDescent="0.2">
      <c r="A70" s="3" t="s">
        <v>13</v>
      </c>
      <c r="B70" s="4">
        <v>45714</v>
      </c>
      <c r="C70" s="3">
        <v>304</v>
      </c>
      <c r="D70" s="3" t="s">
        <v>62</v>
      </c>
      <c r="E70" s="3" t="s">
        <v>49</v>
      </c>
      <c r="F70" s="5">
        <v>0.65138888888888891</v>
      </c>
      <c r="G70" s="3">
        <v>38</v>
      </c>
    </row>
    <row r="71" spans="1:7" x14ac:dyDescent="0.2">
      <c r="A71" s="3" t="s">
        <v>13</v>
      </c>
      <c r="B71" s="4">
        <v>45714</v>
      </c>
      <c r="C71" s="3">
        <v>307</v>
      </c>
      <c r="D71" s="3" t="s">
        <v>48</v>
      </c>
      <c r="E71" s="3" t="s">
        <v>53</v>
      </c>
      <c r="F71" s="5">
        <v>0.67291666666666672</v>
      </c>
      <c r="G71" s="3">
        <v>49</v>
      </c>
    </row>
    <row r="72" spans="1:7" x14ac:dyDescent="0.2">
      <c r="A72" s="3" t="s">
        <v>13</v>
      </c>
      <c r="B72" s="4">
        <v>45714</v>
      </c>
      <c r="C72" s="3">
        <v>325</v>
      </c>
      <c r="D72" s="3" t="s">
        <v>56</v>
      </c>
      <c r="E72" s="3" t="s">
        <v>51</v>
      </c>
      <c r="F72" s="5">
        <v>0.68125000000000002</v>
      </c>
      <c r="G72" s="3">
        <v>41</v>
      </c>
    </row>
    <row r="73" spans="1:7" x14ac:dyDescent="0.2">
      <c r="A73" s="3" t="s">
        <v>13</v>
      </c>
      <c r="B73" s="4">
        <v>45714</v>
      </c>
      <c r="C73" s="3">
        <v>327</v>
      </c>
      <c r="D73" s="3" t="s">
        <v>58</v>
      </c>
      <c r="E73" s="3" t="s">
        <v>53</v>
      </c>
      <c r="F73" s="5">
        <v>0.70347222222222228</v>
      </c>
      <c r="G73" s="3">
        <v>48</v>
      </c>
    </row>
    <row r="74" spans="1:7" x14ac:dyDescent="0.2">
      <c r="A74" s="3" t="s">
        <v>13</v>
      </c>
      <c r="B74" s="4">
        <v>45714</v>
      </c>
      <c r="C74" s="3">
        <v>334</v>
      </c>
      <c r="D74" s="3" t="s">
        <v>60</v>
      </c>
      <c r="E74" s="3" t="s">
        <v>49</v>
      </c>
      <c r="F74" s="5">
        <v>0.6958333333333333</v>
      </c>
      <c r="G74" s="3">
        <v>37</v>
      </c>
    </row>
    <row r="75" spans="1:7" x14ac:dyDescent="0.2">
      <c r="A75" s="3" t="s">
        <v>13</v>
      </c>
      <c r="B75" s="4">
        <v>45714</v>
      </c>
      <c r="C75" s="3">
        <v>335</v>
      </c>
      <c r="D75" s="3" t="s">
        <v>65</v>
      </c>
      <c r="E75" s="3" t="s">
        <v>51</v>
      </c>
      <c r="F75" s="5">
        <v>0.70902777777777781</v>
      </c>
      <c r="G75" s="3">
        <v>41</v>
      </c>
    </row>
    <row r="76" spans="1:7" x14ac:dyDescent="0.2">
      <c r="A76" s="3" t="s">
        <v>13</v>
      </c>
      <c r="B76" s="4">
        <v>45714</v>
      </c>
      <c r="C76" s="3">
        <v>337</v>
      </c>
      <c r="D76" s="3" t="s">
        <v>46</v>
      </c>
      <c r="E76" s="3" t="s">
        <v>53</v>
      </c>
      <c r="F76" s="5">
        <v>0.72152777777777777</v>
      </c>
      <c r="G76" s="3">
        <v>48</v>
      </c>
    </row>
    <row r="77" spans="1:7" x14ac:dyDescent="0.2">
      <c r="A77" s="3" t="s">
        <v>13</v>
      </c>
      <c r="B77" s="4">
        <v>45714</v>
      </c>
      <c r="C77" s="3">
        <v>345</v>
      </c>
      <c r="D77" s="3" t="s">
        <v>64</v>
      </c>
      <c r="E77" s="3" t="s">
        <v>51</v>
      </c>
      <c r="F77" s="5">
        <v>0.72638888888888886</v>
      </c>
      <c r="G77" s="3">
        <v>41</v>
      </c>
    </row>
    <row r="78" spans="1:7" x14ac:dyDescent="0.2">
      <c r="A78" s="3" t="s">
        <v>13</v>
      </c>
      <c r="B78" s="4">
        <v>45714</v>
      </c>
      <c r="C78" s="3">
        <v>355</v>
      </c>
      <c r="D78" s="3" t="s">
        <v>63</v>
      </c>
      <c r="E78" s="3" t="s">
        <v>51</v>
      </c>
      <c r="F78" s="5">
        <v>0.74305555555555558</v>
      </c>
      <c r="G78" s="3">
        <v>40</v>
      </c>
    </row>
    <row r="79" spans="1:7" x14ac:dyDescent="0.2">
      <c r="A79" s="3" t="s">
        <v>13</v>
      </c>
      <c r="B79" s="4">
        <v>45714</v>
      </c>
      <c r="C79" s="3">
        <v>367</v>
      </c>
      <c r="D79" s="3" t="s">
        <v>52</v>
      </c>
      <c r="E79" s="3" t="s">
        <v>53</v>
      </c>
      <c r="F79" s="5">
        <v>0.74513888888888891</v>
      </c>
      <c r="G79" s="3">
        <v>48</v>
      </c>
    </row>
    <row r="80" spans="1:7" x14ac:dyDescent="0.2">
      <c r="A80" s="3" t="s">
        <v>13</v>
      </c>
      <c r="B80" s="4">
        <v>45714</v>
      </c>
      <c r="C80" s="3">
        <v>374</v>
      </c>
      <c r="D80" s="3" t="s">
        <v>61</v>
      </c>
      <c r="E80" s="3" t="s">
        <v>49</v>
      </c>
      <c r="F80" s="5">
        <v>0.7583333333333333</v>
      </c>
      <c r="G80" s="3">
        <v>37</v>
      </c>
    </row>
    <row r="81" spans="1:7" x14ac:dyDescent="0.2">
      <c r="A81" s="3" t="s">
        <v>13</v>
      </c>
      <c r="B81" s="4">
        <v>45714</v>
      </c>
      <c r="C81" s="3">
        <v>385</v>
      </c>
      <c r="D81" s="3" t="s">
        <v>48</v>
      </c>
      <c r="E81" s="3" t="s">
        <v>51</v>
      </c>
      <c r="F81" s="5">
        <v>0.77916666666666667</v>
      </c>
      <c r="G81" s="3">
        <v>40</v>
      </c>
    </row>
    <row r="82" spans="1:7" x14ac:dyDescent="0.2">
      <c r="A82" s="3" t="s">
        <v>13</v>
      </c>
      <c r="B82" s="4">
        <v>45714</v>
      </c>
      <c r="C82" s="3">
        <v>387</v>
      </c>
      <c r="D82" s="3" t="s">
        <v>55</v>
      </c>
      <c r="E82" s="3" t="s">
        <v>53</v>
      </c>
      <c r="F82" s="5">
        <v>0.7895833333333333</v>
      </c>
      <c r="G82" s="3">
        <v>47</v>
      </c>
    </row>
    <row r="83" spans="1:7" x14ac:dyDescent="0.2">
      <c r="A83" s="3" t="s">
        <v>13</v>
      </c>
      <c r="B83" s="4">
        <v>45714</v>
      </c>
      <c r="C83" s="3">
        <v>391</v>
      </c>
      <c r="D83" s="3" t="s">
        <v>62</v>
      </c>
      <c r="E83" s="3" t="s">
        <v>47</v>
      </c>
      <c r="F83" s="5">
        <v>0.81944444444444442</v>
      </c>
      <c r="G83" s="3">
        <v>55</v>
      </c>
    </row>
    <row r="84" spans="1:7" x14ac:dyDescent="0.2">
      <c r="A84" s="3" t="s">
        <v>13</v>
      </c>
      <c r="B84" s="4">
        <v>45714</v>
      </c>
      <c r="C84" s="3">
        <v>504</v>
      </c>
      <c r="D84" s="3" t="s">
        <v>65</v>
      </c>
      <c r="E84" s="3" t="s">
        <v>49</v>
      </c>
      <c r="F84" s="5">
        <v>0.81319444444444444</v>
      </c>
      <c r="G84" s="3">
        <v>36</v>
      </c>
    </row>
    <row r="85" spans="1:7" x14ac:dyDescent="0.2">
      <c r="A85" s="3" t="s">
        <v>13</v>
      </c>
      <c r="B85" s="4">
        <v>45714</v>
      </c>
      <c r="C85" s="3">
        <v>505</v>
      </c>
      <c r="D85" s="3" t="s">
        <v>63</v>
      </c>
      <c r="E85" s="3" t="s">
        <v>51</v>
      </c>
      <c r="F85" s="5">
        <v>0.81319444444444444</v>
      </c>
      <c r="G85" s="3">
        <v>40</v>
      </c>
    </row>
    <row r="86" spans="1:7" x14ac:dyDescent="0.2">
      <c r="A86" s="3" t="s">
        <v>13</v>
      </c>
      <c r="B86" s="4">
        <v>45714</v>
      </c>
      <c r="C86" s="3">
        <v>517</v>
      </c>
      <c r="D86" s="3" t="s">
        <v>46</v>
      </c>
      <c r="E86" s="3" t="s">
        <v>53</v>
      </c>
      <c r="F86" s="5">
        <v>0.83819444444444446</v>
      </c>
      <c r="G86" s="3">
        <v>48</v>
      </c>
    </row>
    <row r="87" spans="1:7" x14ac:dyDescent="0.2">
      <c r="A87" s="3" t="s">
        <v>13</v>
      </c>
      <c r="B87" s="4">
        <v>45714</v>
      </c>
      <c r="C87" s="3">
        <v>525</v>
      </c>
      <c r="D87" s="3" t="s">
        <v>64</v>
      </c>
      <c r="E87" s="3" t="s">
        <v>51</v>
      </c>
      <c r="F87" s="5">
        <v>0.83263888888888893</v>
      </c>
      <c r="G87" s="3">
        <v>39</v>
      </c>
    </row>
    <row r="88" spans="1:7" x14ac:dyDescent="0.2">
      <c r="A88" s="3" t="s">
        <v>13</v>
      </c>
      <c r="B88" s="4">
        <v>45714</v>
      </c>
      <c r="C88" s="3">
        <v>534</v>
      </c>
      <c r="D88" s="3" t="s">
        <v>61</v>
      </c>
      <c r="E88" s="3" t="s">
        <v>49</v>
      </c>
      <c r="F88" s="5">
        <v>0.85763888888888884</v>
      </c>
      <c r="G88" s="3">
        <v>36</v>
      </c>
    </row>
    <row r="89" spans="1:7" x14ac:dyDescent="0.2">
      <c r="A89" s="3" t="s">
        <v>13</v>
      </c>
      <c r="B89" s="4">
        <v>45714</v>
      </c>
      <c r="C89" s="3">
        <v>555</v>
      </c>
      <c r="D89" s="3" t="s">
        <v>48</v>
      </c>
      <c r="E89" s="3" t="s">
        <v>51</v>
      </c>
      <c r="F89" s="5">
        <v>0.88055555555555554</v>
      </c>
      <c r="G89" s="3">
        <v>38</v>
      </c>
    </row>
    <row r="90" spans="1:7" x14ac:dyDescent="0.2">
      <c r="A90" s="3" t="s">
        <v>13</v>
      </c>
      <c r="B90" s="4">
        <v>45714</v>
      </c>
      <c r="C90" s="3">
        <v>561</v>
      </c>
      <c r="D90" s="3" t="s">
        <v>52</v>
      </c>
      <c r="E90" s="3" t="s">
        <v>47</v>
      </c>
      <c r="F90" s="5">
        <v>0.86736111111111114</v>
      </c>
      <c r="G90" s="3">
        <v>54</v>
      </c>
    </row>
    <row r="91" spans="1:7" x14ac:dyDescent="0.2">
      <c r="A91" s="1"/>
    </row>
    <row r="92" spans="1:7" x14ac:dyDescent="0.2">
      <c r="A92" s="1" t="s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72A6F-08CD-AF46-A81B-DDCF09D57528}">
  <dimension ref="A3:B22"/>
  <sheetViews>
    <sheetView workbookViewId="0">
      <selection activeCell="A7" sqref="A7"/>
    </sheetView>
  </sheetViews>
  <sheetFormatPr baseColWidth="10" defaultRowHeight="16" x14ac:dyDescent="0.2"/>
  <cols>
    <col min="1" max="1" width="13" bestFit="1" customWidth="1"/>
    <col min="2" max="2" width="19" bestFit="1" customWidth="1"/>
  </cols>
  <sheetData>
    <row r="3" spans="1:2" x14ac:dyDescent="0.2">
      <c r="A3" s="7" t="s">
        <v>68</v>
      </c>
      <c r="B3" t="s">
        <v>67</v>
      </c>
    </row>
    <row r="4" spans="1:2" x14ac:dyDescent="0.2">
      <c r="A4" s="8" t="s">
        <v>47</v>
      </c>
      <c r="B4" s="6">
        <v>2902</v>
      </c>
    </row>
    <row r="5" spans="1:2" x14ac:dyDescent="0.2">
      <c r="A5" s="8" t="s">
        <v>37</v>
      </c>
      <c r="B5" s="6">
        <v>51</v>
      </c>
    </row>
    <row r="6" spans="1:2" x14ac:dyDescent="0.2">
      <c r="A6" s="8" t="s">
        <v>53</v>
      </c>
      <c r="B6" s="6">
        <v>4095</v>
      </c>
    </row>
    <row r="7" spans="1:2" x14ac:dyDescent="0.2">
      <c r="A7" s="8" t="s">
        <v>18</v>
      </c>
      <c r="B7" s="6">
        <v>29</v>
      </c>
    </row>
    <row r="8" spans="1:2" x14ac:dyDescent="0.2">
      <c r="A8" s="8" t="s">
        <v>15</v>
      </c>
      <c r="B8" s="6">
        <v>13</v>
      </c>
    </row>
    <row r="9" spans="1:2" x14ac:dyDescent="0.2">
      <c r="A9" s="8" t="s">
        <v>39</v>
      </c>
      <c r="B9" s="6">
        <v>69</v>
      </c>
    </row>
    <row r="10" spans="1:2" x14ac:dyDescent="0.2">
      <c r="A10" s="8" t="s">
        <v>49</v>
      </c>
      <c r="B10" s="6">
        <v>4224</v>
      </c>
    </row>
    <row r="11" spans="1:2" x14ac:dyDescent="0.2">
      <c r="A11" s="8" t="s">
        <v>33</v>
      </c>
      <c r="B11" s="6">
        <v>47</v>
      </c>
    </row>
    <row r="12" spans="1:2" x14ac:dyDescent="0.2">
      <c r="A12" s="8" t="s">
        <v>51</v>
      </c>
      <c r="B12" s="6">
        <v>5705</v>
      </c>
    </row>
    <row r="13" spans="1:2" x14ac:dyDescent="0.2">
      <c r="A13" s="8" t="s">
        <v>41</v>
      </c>
      <c r="B13" s="6">
        <v>79</v>
      </c>
    </row>
    <row r="14" spans="1:2" x14ac:dyDescent="0.2">
      <c r="A14" s="8" t="s">
        <v>35</v>
      </c>
      <c r="B14" s="6">
        <v>49</v>
      </c>
    </row>
    <row r="15" spans="1:2" x14ac:dyDescent="0.2">
      <c r="A15" s="8" t="s">
        <v>31</v>
      </c>
      <c r="B15" s="6">
        <v>35</v>
      </c>
    </row>
    <row r="16" spans="1:2" x14ac:dyDescent="0.2">
      <c r="A16" s="8" t="s">
        <v>24</v>
      </c>
      <c r="B16" s="6">
        <v>15</v>
      </c>
    </row>
    <row r="17" spans="1:2" x14ac:dyDescent="0.2">
      <c r="A17" s="8" t="s">
        <v>29</v>
      </c>
      <c r="B17" s="6">
        <v>21</v>
      </c>
    </row>
    <row r="18" spans="1:2" x14ac:dyDescent="0.2">
      <c r="A18" s="8" t="s">
        <v>22</v>
      </c>
      <c r="B18" s="6">
        <v>11</v>
      </c>
    </row>
    <row r="19" spans="1:2" x14ac:dyDescent="0.2">
      <c r="A19" s="8" t="s">
        <v>43</v>
      </c>
      <c r="B19" s="6">
        <v>91</v>
      </c>
    </row>
    <row r="20" spans="1:2" x14ac:dyDescent="0.2">
      <c r="A20" s="8" t="s">
        <v>45</v>
      </c>
      <c r="B20" s="6">
        <v>95</v>
      </c>
    </row>
    <row r="21" spans="1:2" x14ac:dyDescent="0.2">
      <c r="A21" s="8" t="s">
        <v>27</v>
      </c>
      <c r="B21" s="6">
        <v>19</v>
      </c>
    </row>
    <row r="22" spans="1:2" x14ac:dyDescent="0.2">
      <c r="A22" s="8" t="s">
        <v>69</v>
      </c>
      <c r="B22" s="6">
        <v>17550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D0DF0-1C83-B04D-B942-01A302A91EA1}">
  <dimension ref="A1:G65"/>
  <sheetViews>
    <sheetView workbookViewId="0">
      <selection sqref="A1:G65"/>
    </sheetView>
  </sheetViews>
  <sheetFormatPr baseColWidth="10" defaultRowHeight="16" x14ac:dyDescent="0.2"/>
  <sheetData>
    <row r="1" spans="1:7" ht="45" x14ac:dyDescent="0.2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</row>
    <row r="2" spans="1:7" x14ac:dyDescent="0.2">
      <c r="A2" s="3" t="s">
        <v>13</v>
      </c>
      <c r="B2" s="4">
        <v>45714</v>
      </c>
      <c r="C2" s="3">
        <v>101</v>
      </c>
      <c r="D2" s="3" t="s">
        <v>46</v>
      </c>
      <c r="E2" s="3" t="s">
        <v>47</v>
      </c>
      <c r="F2" s="5">
        <v>0.29375000000000001</v>
      </c>
      <c r="G2" s="3">
        <v>53</v>
      </c>
    </row>
    <row r="3" spans="1:7" x14ac:dyDescent="0.2">
      <c r="A3" s="3" t="s">
        <v>13</v>
      </c>
      <c r="B3" s="4">
        <v>45714</v>
      </c>
      <c r="C3" s="3">
        <v>104</v>
      </c>
      <c r="D3" s="3" t="s">
        <v>48</v>
      </c>
      <c r="E3" s="3" t="s">
        <v>49</v>
      </c>
      <c r="F3" s="5">
        <v>0.27569444444444446</v>
      </c>
      <c r="G3" s="3">
        <v>37</v>
      </c>
    </row>
    <row r="4" spans="1:7" x14ac:dyDescent="0.2">
      <c r="A4" s="3" t="s">
        <v>13</v>
      </c>
      <c r="B4" s="4">
        <v>45714</v>
      </c>
      <c r="C4" s="3">
        <v>105</v>
      </c>
      <c r="D4" s="3" t="s">
        <v>50</v>
      </c>
      <c r="E4" s="3" t="s">
        <v>51</v>
      </c>
      <c r="F4" s="5">
        <v>0.27569444444444446</v>
      </c>
      <c r="G4" s="3">
        <v>37</v>
      </c>
    </row>
    <row r="5" spans="1:7" x14ac:dyDescent="0.2">
      <c r="A5" s="3" t="s">
        <v>13</v>
      </c>
      <c r="B5" s="4">
        <v>45714</v>
      </c>
      <c r="C5" s="3">
        <v>107</v>
      </c>
      <c r="D5" s="3" t="s">
        <v>52</v>
      </c>
      <c r="E5" s="3" t="s">
        <v>53</v>
      </c>
      <c r="F5" s="5">
        <v>0.28194444444444444</v>
      </c>
      <c r="G5" s="3">
        <v>46</v>
      </c>
    </row>
    <row r="6" spans="1:7" x14ac:dyDescent="0.2">
      <c r="A6" s="3" t="s">
        <v>13</v>
      </c>
      <c r="B6" s="4">
        <v>45714</v>
      </c>
      <c r="C6" s="3">
        <v>114</v>
      </c>
      <c r="D6" s="3" t="s">
        <v>54</v>
      </c>
      <c r="E6" s="3" t="s">
        <v>49</v>
      </c>
      <c r="F6" s="5">
        <v>0.30833333333333335</v>
      </c>
      <c r="G6" s="3">
        <v>37</v>
      </c>
    </row>
    <row r="7" spans="1:7" x14ac:dyDescent="0.2">
      <c r="A7" s="3" t="s">
        <v>13</v>
      </c>
      <c r="B7" s="4">
        <v>45714</v>
      </c>
      <c r="C7" s="3">
        <v>115</v>
      </c>
      <c r="D7" s="3" t="s">
        <v>55</v>
      </c>
      <c r="E7" s="3" t="s">
        <v>51</v>
      </c>
      <c r="F7" s="5">
        <v>0.30694444444444446</v>
      </c>
      <c r="G7" s="3">
        <v>37</v>
      </c>
    </row>
    <row r="8" spans="1:7" x14ac:dyDescent="0.2">
      <c r="A8" s="3" t="s">
        <v>13</v>
      </c>
      <c r="B8" s="4">
        <v>45714</v>
      </c>
      <c r="C8" s="3">
        <v>121</v>
      </c>
      <c r="D8" s="3" t="s">
        <v>56</v>
      </c>
      <c r="E8" s="3" t="s">
        <v>47</v>
      </c>
      <c r="F8" s="5">
        <v>0.35</v>
      </c>
      <c r="G8" s="3">
        <v>54</v>
      </c>
    </row>
    <row r="9" spans="1:7" x14ac:dyDescent="0.2">
      <c r="A9" s="3" t="s">
        <v>13</v>
      </c>
      <c r="B9" s="4">
        <v>45714</v>
      </c>
      <c r="C9" s="3">
        <v>125</v>
      </c>
      <c r="D9" s="3" t="s">
        <v>57</v>
      </c>
      <c r="E9" s="3" t="s">
        <v>51</v>
      </c>
      <c r="F9" s="5">
        <v>0.32569444444444445</v>
      </c>
      <c r="G9" s="3">
        <v>39</v>
      </c>
    </row>
    <row r="10" spans="1:7" x14ac:dyDescent="0.2">
      <c r="A10" s="3" t="s">
        <v>13</v>
      </c>
      <c r="B10" s="4">
        <v>45714</v>
      </c>
      <c r="C10" s="3">
        <v>127</v>
      </c>
      <c r="D10" s="3" t="s">
        <v>58</v>
      </c>
      <c r="E10" s="3" t="s">
        <v>53</v>
      </c>
      <c r="F10" s="5">
        <v>0.32430555555555557</v>
      </c>
      <c r="G10" s="3">
        <v>47</v>
      </c>
    </row>
    <row r="11" spans="1:7" x14ac:dyDescent="0.2">
      <c r="A11" s="3" t="s">
        <v>13</v>
      </c>
      <c r="B11" s="4">
        <v>45714</v>
      </c>
      <c r="C11" s="3">
        <v>134</v>
      </c>
      <c r="D11" s="3" t="s">
        <v>59</v>
      </c>
      <c r="E11" s="3" t="s">
        <v>49</v>
      </c>
      <c r="F11" s="5">
        <v>0.34444444444444444</v>
      </c>
      <c r="G11" s="3">
        <v>36</v>
      </c>
    </row>
    <row r="12" spans="1:7" x14ac:dyDescent="0.2">
      <c r="A12" s="3" t="s">
        <v>13</v>
      </c>
      <c r="B12" s="4">
        <v>45714</v>
      </c>
      <c r="C12" s="3">
        <v>137</v>
      </c>
      <c r="D12" s="3" t="s">
        <v>60</v>
      </c>
      <c r="E12" s="3" t="s">
        <v>53</v>
      </c>
      <c r="F12" s="5">
        <v>0.36666666666666664</v>
      </c>
      <c r="G12" s="3">
        <v>48</v>
      </c>
    </row>
    <row r="13" spans="1:7" x14ac:dyDescent="0.2">
      <c r="A13" s="3" t="s">
        <v>13</v>
      </c>
      <c r="B13" s="4">
        <v>45714</v>
      </c>
      <c r="C13" s="3">
        <v>141</v>
      </c>
      <c r="D13" s="3" t="s">
        <v>61</v>
      </c>
      <c r="E13" s="3" t="s">
        <v>47</v>
      </c>
      <c r="F13" s="5">
        <v>0.38819444444444445</v>
      </c>
      <c r="G13" s="3">
        <v>54</v>
      </c>
    </row>
    <row r="14" spans="1:7" x14ac:dyDescent="0.2">
      <c r="A14" s="3" t="s">
        <v>13</v>
      </c>
      <c r="B14" s="4">
        <v>45714</v>
      </c>
      <c r="C14" s="3">
        <v>145</v>
      </c>
      <c r="D14" s="3" t="s">
        <v>62</v>
      </c>
      <c r="E14" s="3" t="s">
        <v>51</v>
      </c>
      <c r="F14" s="5">
        <v>0.35347222222222224</v>
      </c>
      <c r="G14" s="3">
        <v>39</v>
      </c>
    </row>
    <row r="15" spans="1:7" x14ac:dyDescent="0.2">
      <c r="A15" s="3" t="s">
        <v>13</v>
      </c>
      <c r="B15" s="4">
        <v>45714</v>
      </c>
      <c r="C15" s="3">
        <v>154</v>
      </c>
      <c r="D15" s="3" t="s">
        <v>50</v>
      </c>
      <c r="E15" s="3" t="s">
        <v>49</v>
      </c>
      <c r="F15" s="5">
        <v>0.37361111111111112</v>
      </c>
      <c r="G15" s="3">
        <v>36</v>
      </c>
    </row>
    <row r="16" spans="1:7" x14ac:dyDescent="0.2">
      <c r="A16" s="3" t="s">
        <v>13</v>
      </c>
      <c r="B16" s="4">
        <v>45714</v>
      </c>
      <c r="C16" s="3">
        <v>155</v>
      </c>
      <c r="D16" s="3" t="s">
        <v>52</v>
      </c>
      <c r="E16" s="3" t="s">
        <v>51</v>
      </c>
      <c r="F16" s="5">
        <v>0.38541666666666669</v>
      </c>
      <c r="G16" s="3">
        <v>40</v>
      </c>
    </row>
    <row r="17" spans="1:7" x14ac:dyDescent="0.2">
      <c r="A17" s="3" t="s">
        <v>13</v>
      </c>
      <c r="B17" s="4">
        <v>45714</v>
      </c>
      <c r="C17" s="3">
        <v>165</v>
      </c>
      <c r="D17" s="3" t="s">
        <v>55</v>
      </c>
      <c r="E17" s="3" t="s">
        <v>51</v>
      </c>
      <c r="F17" s="5">
        <v>0.41249999999999998</v>
      </c>
      <c r="G17" s="3">
        <v>39</v>
      </c>
    </row>
    <row r="18" spans="1:7" x14ac:dyDescent="0.2">
      <c r="A18" s="3" t="s">
        <v>13</v>
      </c>
      <c r="B18" s="4">
        <v>45714</v>
      </c>
      <c r="C18" s="3">
        <v>167</v>
      </c>
      <c r="D18" s="3" t="s">
        <v>46</v>
      </c>
      <c r="E18" s="3" t="s">
        <v>53</v>
      </c>
      <c r="F18" s="5">
        <v>0.4236111111111111</v>
      </c>
      <c r="G18" s="3">
        <v>47</v>
      </c>
    </row>
    <row r="19" spans="1:7" x14ac:dyDescent="0.2">
      <c r="A19" s="3" t="s">
        <v>13</v>
      </c>
      <c r="B19" s="4">
        <v>45714</v>
      </c>
      <c r="C19" s="3">
        <v>171</v>
      </c>
      <c r="D19" s="3" t="s">
        <v>54</v>
      </c>
      <c r="E19" s="3" t="s">
        <v>47</v>
      </c>
      <c r="F19" s="5">
        <v>0.44444444444444442</v>
      </c>
      <c r="G19" s="3">
        <v>54</v>
      </c>
    </row>
    <row r="20" spans="1:7" x14ac:dyDescent="0.2">
      <c r="A20" s="3" t="s">
        <v>13</v>
      </c>
      <c r="B20" s="4">
        <v>45714</v>
      </c>
      <c r="C20" s="3">
        <v>175</v>
      </c>
      <c r="D20" s="3" t="s">
        <v>48</v>
      </c>
      <c r="E20" s="3" t="s">
        <v>51</v>
      </c>
      <c r="F20" s="5">
        <v>0.43680555555555556</v>
      </c>
      <c r="G20" s="3">
        <v>39</v>
      </c>
    </row>
    <row r="21" spans="1:7" x14ac:dyDescent="0.2">
      <c r="A21" s="3" t="s">
        <v>13</v>
      </c>
      <c r="B21" s="4">
        <v>45714</v>
      </c>
      <c r="C21" s="3">
        <v>181</v>
      </c>
      <c r="D21" s="3" t="s">
        <v>59</v>
      </c>
      <c r="E21" s="3" t="s">
        <v>47</v>
      </c>
      <c r="F21" s="5">
        <v>0.47222222222222221</v>
      </c>
      <c r="G21" s="3">
        <v>55</v>
      </c>
    </row>
    <row r="22" spans="1:7" x14ac:dyDescent="0.2">
      <c r="A22" s="3" t="s">
        <v>13</v>
      </c>
      <c r="B22" s="4">
        <v>45714</v>
      </c>
      <c r="C22" s="3">
        <v>184</v>
      </c>
      <c r="D22" s="3" t="s">
        <v>62</v>
      </c>
      <c r="E22" s="3" t="s">
        <v>49</v>
      </c>
      <c r="F22" s="5">
        <v>0.47222222222222221</v>
      </c>
      <c r="G22" s="3">
        <v>37</v>
      </c>
    </row>
    <row r="23" spans="1:7" x14ac:dyDescent="0.2">
      <c r="A23" s="3" t="s">
        <v>13</v>
      </c>
      <c r="B23" s="4">
        <v>45714</v>
      </c>
      <c r="C23" s="3">
        <v>185</v>
      </c>
      <c r="D23" s="3" t="s">
        <v>63</v>
      </c>
      <c r="E23" s="3" t="s">
        <v>51</v>
      </c>
      <c r="F23" s="5">
        <v>0.4513888888888889</v>
      </c>
      <c r="G23" s="3">
        <v>40</v>
      </c>
    </row>
    <row r="24" spans="1:7" x14ac:dyDescent="0.2">
      <c r="A24" s="3" t="s">
        <v>13</v>
      </c>
      <c r="B24" s="4">
        <v>45714</v>
      </c>
      <c r="C24" s="3">
        <v>195</v>
      </c>
      <c r="D24" s="3" t="s">
        <v>64</v>
      </c>
      <c r="E24" s="3" t="s">
        <v>51</v>
      </c>
      <c r="F24" s="5">
        <v>0.46944444444444444</v>
      </c>
      <c r="G24" s="3">
        <v>40</v>
      </c>
    </row>
    <row r="25" spans="1:7" x14ac:dyDescent="0.2">
      <c r="A25" s="3" t="s">
        <v>13</v>
      </c>
      <c r="B25" s="4">
        <v>45714</v>
      </c>
      <c r="C25" s="3">
        <v>201</v>
      </c>
      <c r="D25" s="3" t="s">
        <v>60</v>
      </c>
      <c r="E25" s="3" t="s">
        <v>47</v>
      </c>
      <c r="F25" s="5">
        <v>0.51736111111111116</v>
      </c>
      <c r="G25" s="3">
        <v>56</v>
      </c>
    </row>
    <row r="26" spans="1:7" x14ac:dyDescent="0.2">
      <c r="A26" s="3" t="s">
        <v>13</v>
      </c>
      <c r="B26" s="4">
        <v>45714</v>
      </c>
      <c r="C26" s="3">
        <v>204</v>
      </c>
      <c r="D26" s="3" t="s">
        <v>58</v>
      </c>
      <c r="E26" s="3" t="s">
        <v>49</v>
      </c>
      <c r="F26" s="5">
        <v>0.48958333333333331</v>
      </c>
      <c r="G26" s="3">
        <v>35</v>
      </c>
    </row>
    <row r="27" spans="1:7" x14ac:dyDescent="0.2">
      <c r="A27" s="3" t="s">
        <v>13</v>
      </c>
      <c r="B27" s="4">
        <v>45714</v>
      </c>
      <c r="C27" s="3">
        <v>205</v>
      </c>
      <c r="D27" s="3" t="s">
        <v>50</v>
      </c>
      <c r="E27" s="3" t="s">
        <v>51</v>
      </c>
      <c r="F27" s="5">
        <v>0.49305555555555558</v>
      </c>
      <c r="G27" s="3">
        <v>40</v>
      </c>
    </row>
    <row r="28" spans="1:7" x14ac:dyDescent="0.2">
      <c r="A28" s="3" t="s">
        <v>13</v>
      </c>
      <c r="B28" s="4">
        <v>45714</v>
      </c>
      <c r="C28" s="3">
        <v>207</v>
      </c>
      <c r="D28" s="3" t="s">
        <v>61</v>
      </c>
      <c r="E28" s="3" t="s">
        <v>53</v>
      </c>
      <c r="F28" s="5">
        <v>0.52569444444444446</v>
      </c>
      <c r="G28" s="3">
        <v>47</v>
      </c>
    </row>
    <row r="29" spans="1:7" x14ac:dyDescent="0.2">
      <c r="A29" s="3" t="s">
        <v>13</v>
      </c>
      <c r="B29" s="4">
        <v>45714</v>
      </c>
      <c r="C29" s="3">
        <v>214</v>
      </c>
      <c r="D29" s="3" t="s">
        <v>52</v>
      </c>
      <c r="E29" s="3" t="s">
        <v>49</v>
      </c>
      <c r="F29" s="5">
        <v>0.51736111111111116</v>
      </c>
      <c r="G29" s="3">
        <v>36</v>
      </c>
    </row>
    <row r="30" spans="1:7" x14ac:dyDescent="0.2">
      <c r="A30" s="3" t="s">
        <v>13</v>
      </c>
      <c r="B30" s="4">
        <v>45714</v>
      </c>
      <c r="C30" s="3">
        <v>234</v>
      </c>
      <c r="D30" s="3" t="s">
        <v>48</v>
      </c>
      <c r="E30" s="3" t="s">
        <v>49</v>
      </c>
      <c r="F30" s="5">
        <v>0.54166666666666663</v>
      </c>
      <c r="G30" s="3">
        <v>37</v>
      </c>
    </row>
    <row r="31" spans="1:7" x14ac:dyDescent="0.2">
      <c r="A31" s="3" t="s">
        <v>13</v>
      </c>
      <c r="B31" s="4">
        <v>45714</v>
      </c>
      <c r="C31" s="3">
        <v>241</v>
      </c>
      <c r="D31" s="3" t="s">
        <v>54</v>
      </c>
      <c r="E31" s="3" t="s">
        <v>47</v>
      </c>
      <c r="F31" s="5">
        <v>0.56597222222222221</v>
      </c>
      <c r="G31" s="3">
        <v>55</v>
      </c>
    </row>
    <row r="32" spans="1:7" x14ac:dyDescent="0.2">
      <c r="A32" s="3" t="s">
        <v>13</v>
      </c>
      <c r="B32" s="4">
        <v>45714</v>
      </c>
      <c r="C32" s="3">
        <v>245</v>
      </c>
      <c r="D32" s="3" t="s">
        <v>46</v>
      </c>
      <c r="E32" s="3" t="s">
        <v>51</v>
      </c>
      <c r="F32" s="5">
        <v>0.54583333333333328</v>
      </c>
      <c r="G32" s="3">
        <v>41</v>
      </c>
    </row>
    <row r="33" spans="1:7" x14ac:dyDescent="0.2">
      <c r="A33" s="3" t="s">
        <v>13</v>
      </c>
      <c r="B33" s="4">
        <v>45714</v>
      </c>
      <c r="C33" s="3">
        <v>251</v>
      </c>
      <c r="D33" s="3" t="s">
        <v>64</v>
      </c>
      <c r="E33" s="3" t="s">
        <v>47</v>
      </c>
      <c r="F33" s="5">
        <v>0.60902777777777772</v>
      </c>
      <c r="G33" s="3">
        <v>57</v>
      </c>
    </row>
    <row r="34" spans="1:7" x14ac:dyDescent="0.2">
      <c r="A34" s="3" t="s">
        <v>13</v>
      </c>
      <c r="B34" s="4">
        <v>45714</v>
      </c>
      <c r="C34" s="3">
        <v>257</v>
      </c>
      <c r="D34" s="3" t="s">
        <v>56</v>
      </c>
      <c r="E34" s="3" t="s">
        <v>53</v>
      </c>
      <c r="F34" s="5">
        <v>0.56458333333333333</v>
      </c>
      <c r="G34" s="3">
        <v>48</v>
      </c>
    </row>
    <row r="35" spans="1:7" x14ac:dyDescent="0.2">
      <c r="A35" s="3" t="s">
        <v>13</v>
      </c>
      <c r="B35" s="4">
        <v>45714</v>
      </c>
      <c r="C35" s="3">
        <v>261</v>
      </c>
      <c r="D35" s="3" t="s">
        <v>54</v>
      </c>
      <c r="E35" s="3" t="s">
        <v>47</v>
      </c>
      <c r="F35" s="5">
        <v>0.69513888888888886</v>
      </c>
      <c r="G35" s="3">
        <v>56</v>
      </c>
    </row>
    <row r="36" spans="1:7" x14ac:dyDescent="0.2">
      <c r="A36" s="3" t="s">
        <v>13</v>
      </c>
      <c r="B36" s="4">
        <v>45714</v>
      </c>
      <c r="C36" s="3">
        <v>264</v>
      </c>
      <c r="D36" s="3" t="s">
        <v>57</v>
      </c>
      <c r="E36" s="3" t="s">
        <v>49</v>
      </c>
      <c r="F36" s="5">
        <v>0.56874999999999998</v>
      </c>
      <c r="G36" s="3">
        <v>38</v>
      </c>
    </row>
    <row r="37" spans="1:7" x14ac:dyDescent="0.2">
      <c r="A37" s="3" t="s">
        <v>13</v>
      </c>
      <c r="B37" s="4">
        <v>45714</v>
      </c>
      <c r="C37" s="3">
        <v>265</v>
      </c>
      <c r="D37" s="3" t="s">
        <v>63</v>
      </c>
      <c r="E37" s="3" t="s">
        <v>51</v>
      </c>
      <c r="F37" s="5">
        <v>0.56666666666666665</v>
      </c>
      <c r="G37" s="3">
        <v>41</v>
      </c>
    </row>
    <row r="38" spans="1:7" x14ac:dyDescent="0.2">
      <c r="A38" s="3" t="s">
        <v>13</v>
      </c>
      <c r="B38" s="4">
        <v>45714</v>
      </c>
      <c r="C38" s="3">
        <v>267</v>
      </c>
      <c r="D38" s="3" t="s">
        <v>65</v>
      </c>
      <c r="E38" s="3" t="s">
        <v>53</v>
      </c>
      <c r="F38" s="5">
        <v>0.58680555555555558</v>
      </c>
      <c r="G38" s="3">
        <v>50</v>
      </c>
    </row>
    <row r="39" spans="1:7" x14ac:dyDescent="0.2">
      <c r="A39" s="3" t="s">
        <v>13</v>
      </c>
      <c r="B39" s="4">
        <v>45714</v>
      </c>
      <c r="C39" s="3">
        <v>274</v>
      </c>
      <c r="D39" s="3" t="s">
        <v>50</v>
      </c>
      <c r="E39" s="3" t="s">
        <v>49</v>
      </c>
      <c r="F39" s="5">
        <v>0.59930555555555554</v>
      </c>
      <c r="G39" s="3">
        <v>38</v>
      </c>
    </row>
    <row r="40" spans="1:7" x14ac:dyDescent="0.2">
      <c r="A40" s="3" t="s">
        <v>13</v>
      </c>
      <c r="B40" s="4">
        <v>45714</v>
      </c>
      <c r="C40" s="3">
        <v>281</v>
      </c>
      <c r="D40" s="3" t="s">
        <v>50</v>
      </c>
      <c r="E40" s="3" t="s">
        <v>47</v>
      </c>
      <c r="F40" s="5">
        <v>0.73263888888888884</v>
      </c>
      <c r="G40" s="3">
        <v>55</v>
      </c>
    </row>
    <row r="41" spans="1:7" x14ac:dyDescent="0.2">
      <c r="A41" s="3" t="s">
        <v>13</v>
      </c>
      <c r="B41" s="4">
        <v>45714</v>
      </c>
      <c r="C41" s="3">
        <v>287</v>
      </c>
      <c r="D41" s="3" t="s">
        <v>58</v>
      </c>
      <c r="E41" s="3" t="s">
        <v>53</v>
      </c>
      <c r="F41" s="5">
        <v>0.62916666666666665</v>
      </c>
      <c r="G41" s="3">
        <v>51</v>
      </c>
    </row>
    <row r="42" spans="1:7" x14ac:dyDescent="0.2">
      <c r="A42" s="3" t="s">
        <v>13</v>
      </c>
      <c r="B42" s="4">
        <v>45714</v>
      </c>
      <c r="C42" s="3">
        <v>294</v>
      </c>
      <c r="D42" s="3" t="s">
        <v>61</v>
      </c>
      <c r="E42" s="3" t="s">
        <v>49</v>
      </c>
      <c r="F42" s="5">
        <v>0.62708333333333333</v>
      </c>
      <c r="G42" s="3">
        <v>38</v>
      </c>
    </row>
    <row r="43" spans="1:7" x14ac:dyDescent="0.2">
      <c r="A43" s="3" t="s">
        <v>13</v>
      </c>
      <c r="B43" s="4">
        <v>45714</v>
      </c>
      <c r="C43" s="3">
        <v>295</v>
      </c>
      <c r="D43" s="3" t="s">
        <v>52</v>
      </c>
      <c r="E43" s="3" t="s">
        <v>51</v>
      </c>
      <c r="F43" s="5">
        <v>0.62777777777777777</v>
      </c>
      <c r="G43" s="3">
        <v>44</v>
      </c>
    </row>
    <row r="44" spans="1:7" x14ac:dyDescent="0.2">
      <c r="A44" s="3" t="s">
        <v>13</v>
      </c>
      <c r="B44" s="4">
        <v>45714</v>
      </c>
      <c r="C44" s="3">
        <v>297</v>
      </c>
      <c r="D44" s="3" t="s">
        <v>55</v>
      </c>
      <c r="E44" s="3" t="s">
        <v>53</v>
      </c>
      <c r="F44" s="5">
        <v>0.65694444444444444</v>
      </c>
      <c r="G44" s="3">
        <v>51</v>
      </c>
    </row>
    <row r="45" spans="1:7" x14ac:dyDescent="0.2">
      <c r="A45" s="3" t="s">
        <v>13</v>
      </c>
      <c r="B45" s="4">
        <v>45714</v>
      </c>
      <c r="C45" s="3">
        <v>304</v>
      </c>
      <c r="D45" s="3" t="s">
        <v>62</v>
      </c>
      <c r="E45" s="3" t="s">
        <v>49</v>
      </c>
      <c r="F45" s="5">
        <v>0.65138888888888891</v>
      </c>
      <c r="G45" s="3">
        <v>38</v>
      </c>
    </row>
    <row r="46" spans="1:7" x14ac:dyDescent="0.2">
      <c r="A46" s="3" t="s">
        <v>13</v>
      </c>
      <c r="B46" s="4">
        <v>45714</v>
      </c>
      <c r="C46" s="3">
        <v>307</v>
      </c>
      <c r="D46" s="3" t="s">
        <v>48</v>
      </c>
      <c r="E46" s="3" t="s">
        <v>53</v>
      </c>
      <c r="F46" s="5">
        <v>0.67291666666666672</v>
      </c>
      <c r="G46" s="3">
        <v>49</v>
      </c>
    </row>
    <row r="47" spans="1:7" x14ac:dyDescent="0.2">
      <c r="A47" s="3" t="s">
        <v>13</v>
      </c>
      <c r="B47" s="4">
        <v>45714</v>
      </c>
      <c r="C47" s="3">
        <v>325</v>
      </c>
      <c r="D47" s="3" t="s">
        <v>56</v>
      </c>
      <c r="E47" s="3" t="s">
        <v>51</v>
      </c>
      <c r="F47" s="5">
        <v>0.68125000000000002</v>
      </c>
      <c r="G47" s="3">
        <v>41</v>
      </c>
    </row>
    <row r="48" spans="1:7" x14ac:dyDescent="0.2">
      <c r="A48" s="3" t="s">
        <v>13</v>
      </c>
      <c r="B48" s="4">
        <v>45714</v>
      </c>
      <c r="C48" s="3">
        <v>327</v>
      </c>
      <c r="D48" s="3" t="s">
        <v>58</v>
      </c>
      <c r="E48" s="3" t="s">
        <v>53</v>
      </c>
      <c r="F48" s="5">
        <v>0.70347222222222228</v>
      </c>
      <c r="G48" s="3">
        <v>48</v>
      </c>
    </row>
    <row r="49" spans="1:7" x14ac:dyDescent="0.2">
      <c r="A49" s="3" t="s">
        <v>13</v>
      </c>
      <c r="B49" s="4">
        <v>45714</v>
      </c>
      <c r="C49" s="3">
        <v>334</v>
      </c>
      <c r="D49" s="3" t="s">
        <v>60</v>
      </c>
      <c r="E49" s="3" t="s">
        <v>49</v>
      </c>
      <c r="F49" s="5">
        <v>0.6958333333333333</v>
      </c>
      <c r="G49" s="3">
        <v>37</v>
      </c>
    </row>
    <row r="50" spans="1:7" x14ac:dyDescent="0.2">
      <c r="A50" s="3" t="s">
        <v>13</v>
      </c>
      <c r="B50" s="4">
        <v>45714</v>
      </c>
      <c r="C50" s="3">
        <v>335</v>
      </c>
      <c r="D50" s="3" t="s">
        <v>65</v>
      </c>
      <c r="E50" s="3" t="s">
        <v>51</v>
      </c>
      <c r="F50" s="5">
        <v>0.70902777777777781</v>
      </c>
      <c r="G50" s="3">
        <v>41</v>
      </c>
    </row>
    <row r="51" spans="1:7" x14ac:dyDescent="0.2">
      <c r="A51" s="3" t="s">
        <v>13</v>
      </c>
      <c r="B51" s="4">
        <v>45714</v>
      </c>
      <c r="C51" s="3">
        <v>337</v>
      </c>
      <c r="D51" s="3" t="s">
        <v>46</v>
      </c>
      <c r="E51" s="3" t="s">
        <v>53</v>
      </c>
      <c r="F51" s="5">
        <v>0.72152777777777777</v>
      </c>
      <c r="G51" s="3">
        <v>48</v>
      </c>
    </row>
    <row r="52" spans="1:7" x14ac:dyDescent="0.2">
      <c r="A52" s="3" t="s">
        <v>13</v>
      </c>
      <c r="B52" s="4">
        <v>45714</v>
      </c>
      <c r="C52" s="3">
        <v>345</v>
      </c>
      <c r="D52" s="3" t="s">
        <v>64</v>
      </c>
      <c r="E52" s="3" t="s">
        <v>51</v>
      </c>
      <c r="F52" s="5">
        <v>0.72638888888888886</v>
      </c>
      <c r="G52" s="3">
        <v>41</v>
      </c>
    </row>
    <row r="53" spans="1:7" x14ac:dyDescent="0.2">
      <c r="A53" s="3" t="s">
        <v>13</v>
      </c>
      <c r="B53" s="4">
        <v>45714</v>
      </c>
      <c r="C53" s="3">
        <v>355</v>
      </c>
      <c r="D53" s="3" t="s">
        <v>63</v>
      </c>
      <c r="E53" s="3" t="s">
        <v>51</v>
      </c>
      <c r="F53" s="5">
        <v>0.74305555555555558</v>
      </c>
      <c r="G53" s="3">
        <v>40</v>
      </c>
    </row>
    <row r="54" spans="1:7" x14ac:dyDescent="0.2">
      <c r="A54" s="3" t="s">
        <v>13</v>
      </c>
      <c r="B54" s="4">
        <v>45714</v>
      </c>
      <c r="C54" s="3">
        <v>367</v>
      </c>
      <c r="D54" s="3" t="s">
        <v>52</v>
      </c>
      <c r="E54" s="3" t="s">
        <v>53</v>
      </c>
      <c r="F54" s="5">
        <v>0.74513888888888891</v>
      </c>
      <c r="G54" s="3">
        <v>48</v>
      </c>
    </row>
    <row r="55" spans="1:7" x14ac:dyDescent="0.2">
      <c r="A55" s="3" t="s">
        <v>13</v>
      </c>
      <c r="B55" s="4">
        <v>45714</v>
      </c>
      <c r="C55" s="3">
        <v>374</v>
      </c>
      <c r="D55" s="3" t="s">
        <v>61</v>
      </c>
      <c r="E55" s="3" t="s">
        <v>49</v>
      </c>
      <c r="F55" s="5">
        <v>0.7583333333333333</v>
      </c>
      <c r="G55" s="3">
        <v>37</v>
      </c>
    </row>
    <row r="56" spans="1:7" x14ac:dyDescent="0.2">
      <c r="A56" s="3" t="s">
        <v>13</v>
      </c>
      <c r="B56" s="4">
        <v>45714</v>
      </c>
      <c r="C56" s="3">
        <v>385</v>
      </c>
      <c r="D56" s="3" t="s">
        <v>48</v>
      </c>
      <c r="E56" s="3" t="s">
        <v>51</v>
      </c>
      <c r="F56" s="5">
        <v>0.77916666666666667</v>
      </c>
      <c r="G56" s="3">
        <v>40</v>
      </c>
    </row>
    <row r="57" spans="1:7" x14ac:dyDescent="0.2">
      <c r="A57" s="3" t="s">
        <v>13</v>
      </c>
      <c r="B57" s="4">
        <v>45714</v>
      </c>
      <c r="C57" s="3">
        <v>387</v>
      </c>
      <c r="D57" s="3" t="s">
        <v>55</v>
      </c>
      <c r="E57" s="3" t="s">
        <v>53</v>
      </c>
      <c r="F57" s="5">
        <v>0.7895833333333333</v>
      </c>
      <c r="G57" s="3">
        <v>47</v>
      </c>
    </row>
    <row r="58" spans="1:7" x14ac:dyDescent="0.2">
      <c r="A58" s="3" t="s">
        <v>13</v>
      </c>
      <c r="B58" s="4">
        <v>45714</v>
      </c>
      <c r="C58" s="3">
        <v>391</v>
      </c>
      <c r="D58" s="3" t="s">
        <v>62</v>
      </c>
      <c r="E58" s="3" t="s">
        <v>47</v>
      </c>
      <c r="F58" s="5">
        <v>0.81944444444444442</v>
      </c>
      <c r="G58" s="3">
        <v>55</v>
      </c>
    </row>
    <row r="59" spans="1:7" x14ac:dyDescent="0.2">
      <c r="A59" s="3" t="s">
        <v>13</v>
      </c>
      <c r="B59" s="4">
        <v>45714</v>
      </c>
      <c r="C59" s="3">
        <v>504</v>
      </c>
      <c r="D59" s="3" t="s">
        <v>65</v>
      </c>
      <c r="E59" s="3" t="s">
        <v>49</v>
      </c>
      <c r="F59" s="5">
        <v>0.81319444444444444</v>
      </c>
      <c r="G59" s="3">
        <v>36</v>
      </c>
    </row>
    <row r="60" spans="1:7" x14ac:dyDescent="0.2">
      <c r="A60" s="3" t="s">
        <v>13</v>
      </c>
      <c r="B60" s="4">
        <v>45714</v>
      </c>
      <c r="C60" s="3">
        <v>505</v>
      </c>
      <c r="D60" s="3" t="s">
        <v>63</v>
      </c>
      <c r="E60" s="3" t="s">
        <v>51</v>
      </c>
      <c r="F60" s="5">
        <v>0.81319444444444444</v>
      </c>
      <c r="G60" s="3">
        <v>40</v>
      </c>
    </row>
    <row r="61" spans="1:7" x14ac:dyDescent="0.2">
      <c r="A61" s="3" t="s">
        <v>13</v>
      </c>
      <c r="B61" s="4">
        <v>45714</v>
      </c>
      <c r="C61" s="3">
        <v>517</v>
      </c>
      <c r="D61" s="3" t="s">
        <v>46</v>
      </c>
      <c r="E61" s="3" t="s">
        <v>53</v>
      </c>
      <c r="F61" s="5">
        <v>0.83819444444444446</v>
      </c>
      <c r="G61" s="3">
        <v>48</v>
      </c>
    </row>
    <row r="62" spans="1:7" x14ac:dyDescent="0.2">
      <c r="A62" s="3" t="s">
        <v>13</v>
      </c>
      <c r="B62" s="4">
        <v>45714</v>
      </c>
      <c r="C62" s="3">
        <v>525</v>
      </c>
      <c r="D62" s="3" t="s">
        <v>64</v>
      </c>
      <c r="E62" s="3" t="s">
        <v>51</v>
      </c>
      <c r="F62" s="5">
        <v>0.83263888888888893</v>
      </c>
      <c r="G62" s="3">
        <v>39</v>
      </c>
    </row>
    <row r="63" spans="1:7" x14ac:dyDescent="0.2">
      <c r="A63" s="3" t="s">
        <v>13</v>
      </c>
      <c r="B63" s="4">
        <v>45714</v>
      </c>
      <c r="C63" s="3">
        <v>534</v>
      </c>
      <c r="D63" s="3" t="s">
        <v>61</v>
      </c>
      <c r="E63" s="3" t="s">
        <v>49</v>
      </c>
      <c r="F63" s="5">
        <v>0.85763888888888884</v>
      </c>
      <c r="G63" s="3">
        <v>36</v>
      </c>
    </row>
    <row r="64" spans="1:7" x14ac:dyDescent="0.2">
      <c r="A64" s="3" t="s">
        <v>13</v>
      </c>
      <c r="B64" s="4">
        <v>45714</v>
      </c>
      <c r="C64" s="3">
        <v>555</v>
      </c>
      <c r="D64" s="3" t="s">
        <v>48</v>
      </c>
      <c r="E64" s="3" t="s">
        <v>51</v>
      </c>
      <c r="F64" s="5">
        <v>0.88055555555555554</v>
      </c>
      <c r="G64" s="3">
        <v>38</v>
      </c>
    </row>
    <row r="65" spans="1:7" x14ac:dyDescent="0.2">
      <c r="A65" s="3" t="s">
        <v>13</v>
      </c>
      <c r="B65" s="4">
        <v>45714</v>
      </c>
      <c r="C65" s="3">
        <v>561</v>
      </c>
      <c r="D65" s="3" t="s">
        <v>52</v>
      </c>
      <c r="E65" s="3" t="s">
        <v>47</v>
      </c>
      <c r="F65" s="5">
        <v>0.86736111111111114</v>
      </c>
      <c r="G65" s="3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F4CE9-D9BD-D740-B763-AAB59BD81B29}">
  <dimension ref="A3:B8"/>
  <sheetViews>
    <sheetView workbookViewId="0">
      <selection activeCell="L33" sqref="L33"/>
    </sheetView>
  </sheetViews>
  <sheetFormatPr baseColWidth="10" defaultRowHeight="16" x14ac:dyDescent="0.2"/>
  <cols>
    <col min="1" max="1" width="13" bestFit="1" customWidth="1"/>
    <col min="2" max="2" width="20.33203125" bestFit="1" customWidth="1"/>
  </cols>
  <sheetData>
    <row r="3" spans="1:2" x14ac:dyDescent="0.2">
      <c r="A3" s="7" t="s">
        <v>68</v>
      </c>
      <c r="B3" t="s">
        <v>70</v>
      </c>
    </row>
    <row r="4" spans="1:2" x14ac:dyDescent="0.2">
      <c r="A4" s="8" t="s">
        <v>47</v>
      </c>
      <c r="B4" s="6">
        <v>12</v>
      </c>
    </row>
    <row r="5" spans="1:2" x14ac:dyDescent="0.2">
      <c r="A5" s="8" t="s">
        <v>53</v>
      </c>
      <c r="B5" s="6">
        <v>15</v>
      </c>
    </row>
    <row r="6" spans="1:2" x14ac:dyDescent="0.2">
      <c r="A6" s="8" t="s">
        <v>49</v>
      </c>
      <c r="B6" s="6">
        <v>16</v>
      </c>
    </row>
    <row r="7" spans="1:2" x14ac:dyDescent="0.2">
      <c r="A7" s="8" t="s">
        <v>51</v>
      </c>
      <c r="B7" s="6">
        <v>21</v>
      </c>
    </row>
    <row r="8" spans="1:2" x14ac:dyDescent="0.2">
      <c r="A8" s="8" t="s">
        <v>69</v>
      </c>
      <c r="B8" s="6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4D9CB-37C8-A64A-8C7E-3E4FD20ADE80}">
  <dimension ref="A1:I22"/>
  <sheetViews>
    <sheetView workbookViewId="0">
      <selection activeCell="I2" sqref="I2"/>
    </sheetView>
  </sheetViews>
  <sheetFormatPr baseColWidth="10" defaultRowHeight="16" x14ac:dyDescent="0.2"/>
  <sheetData>
    <row r="1" spans="1:9" ht="45" x14ac:dyDescent="0.2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9" t="s">
        <v>72</v>
      </c>
      <c r="I1" s="9" t="s">
        <v>73</v>
      </c>
    </row>
    <row r="2" spans="1:9" x14ac:dyDescent="0.2">
      <c r="A2" s="3" t="s">
        <v>13</v>
      </c>
      <c r="B2" s="4">
        <v>45714</v>
      </c>
      <c r="C2" s="3">
        <v>105</v>
      </c>
      <c r="D2" s="3" t="s">
        <v>50</v>
      </c>
      <c r="E2" s="3" t="s">
        <v>51</v>
      </c>
      <c r="F2" s="5">
        <v>0.27569444444444446</v>
      </c>
      <c r="G2" s="3">
        <v>37</v>
      </c>
      <c r="H2" s="10">
        <f>AVERAGE($G$2:$G$22)</f>
        <v>39.80952380952381</v>
      </c>
      <c r="I2">
        <f>ROUND((H2/60), 2)</f>
        <v>0.66</v>
      </c>
    </row>
    <row r="3" spans="1:9" x14ac:dyDescent="0.2">
      <c r="A3" s="3" t="s">
        <v>13</v>
      </c>
      <c r="B3" s="4">
        <v>45714</v>
      </c>
      <c r="C3" s="3">
        <v>115</v>
      </c>
      <c r="D3" s="3" t="s">
        <v>55</v>
      </c>
      <c r="E3" s="3" t="s">
        <v>51</v>
      </c>
      <c r="F3" s="5">
        <v>0.30694444444444446</v>
      </c>
      <c r="G3" s="3">
        <v>37</v>
      </c>
      <c r="H3" s="10">
        <f t="shared" ref="H3:H22" si="0">AVERAGE($G$2:$G$22)</f>
        <v>39.80952380952381</v>
      </c>
      <c r="I3">
        <f t="shared" ref="I3:I22" si="1">ROUND((H3/60), 2)</f>
        <v>0.66</v>
      </c>
    </row>
    <row r="4" spans="1:9" x14ac:dyDescent="0.2">
      <c r="A4" s="3" t="s">
        <v>13</v>
      </c>
      <c r="B4" s="4">
        <v>45714</v>
      </c>
      <c r="C4" s="3">
        <v>125</v>
      </c>
      <c r="D4" s="3" t="s">
        <v>57</v>
      </c>
      <c r="E4" s="3" t="s">
        <v>51</v>
      </c>
      <c r="F4" s="5">
        <v>0.32569444444444445</v>
      </c>
      <c r="G4" s="3">
        <v>39</v>
      </c>
      <c r="H4" s="10">
        <f t="shared" si="0"/>
        <v>39.80952380952381</v>
      </c>
      <c r="I4">
        <f t="shared" si="1"/>
        <v>0.66</v>
      </c>
    </row>
    <row r="5" spans="1:9" x14ac:dyDescent="0.2">
      <c r="A5" s="3" t="s">
        <v>13</v>
      </c>
      <c r="B5" s="4">
        <v>45714</v>
      </c>
      <c r="C5" s="3">
        <v>145</v>
      </c>
      <c r="D5" s="3" t="s">
        <v>62</v>
      </c>
      <c r="E5" s="3" t="s">
        <v>51</v>
      </c>
      <c r="F5" s="5">
        <v>0.35347222222222224</v>
      </c>
      <c r="G5" s="3">
        <v>39</v>
      </c>
      <c r="H5" s="10">
        <f t="shared" si="0"/>
        <v>39.80952380952381</v>
      </c>
      <c r="I5">
        <f t="shared" si="1"/>
        <v>0.66</v>
      </c>
    </row>
    <row r="6" spans="1:9" x14ac:dyDescent="0.2">
      <c r="A6" s="3" t="s">
        <v>13</v>
      </c>
      <c r="B6" s="4">
        <v>45714</v>
      </c>
      <c r="C6" s="3">
        <v>155</v>
      </c>
      <c r="D6" s="3" t="s">
        <v>52</v>
      </c>
      <c r="E6" s="3" t="s">
        <v>51</v>
      </c>
      <c r="F6" s="5">
        <v>0.38541666666666669</v>
      </c>
      <c r="G6" s="3">
        <v>40</v>
      </c>
      <c r="H6" s="10">
        <f t="shared" si="0"/>
        <v>39.80952380952381</v>
      </c>
      <c r="I6">
        <f t="shared" si="1"/>
        <v>0.66</v>
      </c>
    </row>
    <row r="7" spans="1:9" x14ac:dyDescent="0.2">
      <c r="A7" s="3" t="s">
        <v>13</v>
      </c>
      <c r="B7" s="4">
        <v>45714</v>
      </c>
      <c r="C7" s="3">
        <v>165</v>
      </c>
      <c r="D7" s="3" t="s">
        <v>55</v>
      </c>
      <c r="E7" s="3" t="s">
        <v>51</v>
      </c>
      <c r="F7" s="5">
        <v>0.41249999999999998</v>
      </c>
      <c r="G7" s="3">
        <v>39</v>
      </c>
      <c r="H7" s="10">
        <f t="shared" si="0"/>
        <v>39.80952380952381</v>
      </c>
      <c r="I7">
        <f t="shared" si="1"/>
        <v>0.66</v>
      </c>
    </row>
    <row r="8" spans="1:9" x14ac:dyDescent="0.2">
      <c r="A8" s="3" t="s">
        <v>13</v>
      </c>
      <c r="B8" s="4">
        <v>45714</v>
      </c>
      <c r="C8" s="3">
        <v>175</v>
      </c>
      <c r="D8" s="3" t="s">
        <v>48</v>
      </c>
      <c r="E8" s="3" t="s">
        <v>51</v>
      </c>
      <c r="F8" s="5">
        <v>0.43680555555555556</v>
      </c>
      <c r="G8" s="3">
        <v>39</v>
      </c>
      <c r="H8" s="10">
        <f t="shared" si="0"/>
        <v>39.80952380952381</v>
      </c>
      <c r="I8">
        <f t="shared" si="1"/>
        <v>0.66</v>
      </c>
    </row>
    <row r="9" spans="1:9" x14ac:dyDescent="0.2">
      <c r="A9" s="3" t="s">
        <v>13</v>
      </c>
      <c r="B9" s="4">
        <v>45714</v>
      </c>
      <c r="C9" s="3">
        <v>185</v>
      </c>
      <c r="D9" s="3" t="s">
        <v>63</v>
      </c>
      <c r="E9" s="3" t="s">
        <v>51</v>
      </c>
      <c r="F9" s="5">
        <v>0.4513888888888889</v>
      </c>
      <c r="G9" s="3">
        <v>40</v>
      </c>
      <c r="H9" s="10">
        <f t="shared" si="0"/>
        <v>39.80952380952381</v>
      </c>
      <c r="I9">
        <f t="shared" si="1"/>
        <v>0.66</v>
      </c>
    </row>
    <row r="10" spans="1:9" x14ac:dyDescent="0.2">
      <c r="A10" s="3" t="s">
        <v>13</v>
      </c>
      <c r="B10" s="4">
        <v>45714</v>
      </c>
      <c r="C10" s="3">
        <v>195</v>
      </c>
      <c r="D10" s="3" t="s">
        <v>64</v>
      </c>
      <c r="E10" s="3" t="s">
        <v>51</v>
      </c>
      <c r="F10" s="5">
        <v>0.46944444444444444</v>
      </c>
      <c r="G10" s="3">
        <v>40</v>
      </c>
      <c r="H10" s="10">
        <f t="shared" si="0"/>
        <v>39.80952380952381</v>
      </c>
      <c r="I10">
        <f t="shared" si="1"/>
        <v>0.66</v>
      </c>
    </row>
    <row r="11" spans="1:9" x14ac:dyDescent="0.2">
      <c r="A11" s="3" t="s">
        <v>13</v>
      </c>
      <c r="B11" s="4">
        <v>45714</v>
      </c>
      <c r="C11" s="3">
        <v>205</v>
      </c>
      <c r="D11" s="3" t="s">
        <v>50</v>
      </c>
      <c r="E11" s="3" t="s">
        <v>51</v>
      </c>
      <c r="F11" s="5">
        <v>0.49305555555555558</v>
      </c>
      <c r="G11" s="3">
        <v>40</v>
      </c>
      <c r="H11" s="10">
        <f t="shared" si="0"/>
        <v>39.80952380952381</v>
      </c>
      <c r="I11">
        <f t="shared" si="1"/>
        <v>0.66</v>
      </c>
    </row>
    <row r="12" spans="1:9" x14ac:dyDescent="0.2">
      <c r="A12" s="3" t="s">
        <v>13</v>
      </c>
      <c r="B12" s="4">
        <v>45714</v>
      </c>
      <c r="C12" s="3">
        <v>245</v>
      </c>
      <c r="D12" s="3" t="s">
        <v>46</v>
      </c>
      <c r="E12" s="3" t="s">
        <v>51</v>
      </c>
      <c r="F12" s="5">
        <v>0.54583333333333328</v>
      </c>
      <c r="G12" s="3">
        <v>41</v>
      </c>
      <c r="H12" s="10">
        <f t="shared" si="0"/>
        <v>39.80952380952381</v>
      </c>
      <c r="I12">
        <f t="shared" si="1"/>
        <v>0.66</v>
      </c>
    </row>
    <row r="13" spans="1:9" x14ac:dyDescent="0.2">
      <c r="A13" s="3" t="s">
        <v>13</v>
      </c>
      <c r="B13" s="4">
        <v>45714</v>
      </c>
      <c r="C13" s="3">
        <v>265</v>
      </c>
      <c r="D13" s="3" t="s">
        <v>63</v>
      </c>
      <c r="E13" s="3" t="s">
        <v>51</v>
      </c>
      <c r="F13" s="5">
        <v>0.56666666666666665</v>
      </c>
      <c r="G13" s="3">
        <v>41</v>
      </c>
      <c r="H13" s="10">
        <f t="shared" si="0"/>
        <v>39.80952380952381</v>
      </c>
      <c r="I13">
        <f t="shared" si="1"/>
        <v>0.66</v>
      </c>
    </row>
    <row r="14" spans="1:9" x14ac:dyDescent="0.2">
      <c r="A14" s="3" t="s">
        <v>13</v>
      </c>
      <c r="B14" s="4">
        <v>45714</v>
      </c>
      <c r="C14" s="3">
        <v>295</v>
      </c>
      <c r="D14" s="3" t="s">
        <v>52</v>
      </c>
      <c r="E14" s="3" t="s">
        <v>51</v>
      </c>
      <c r="F14" s="5">
        <v>0.62777777777777777</v>
      </c>
      <c r="G14" s="3">
        <v>44</v>
      </c>
      <c r="H14" s="10">
        <f t="shared" si="0"/>
        <v>39.80952380952381</v>
      </c>
      <c r="I14">
        <f t="shared" si="1"/>
        <v>0.66</v>
      </c>
    </row>
    <row r="15" spans="1:9" x14ac:dyDescent="0.2">
      <c r="A15" s="3" t="s">
        <v>13</v>
      </c>
      <c r="B15" s="4">
        <v>45714</v>
      </c>
      <c r="C15" s="3">
        <v>325</v>
      </c>
      <c r="D15" s="3" t="s">
        <v>56</v>
      </c>
      <c r="E15" s="3" t="s">
        <v>51</v>
      </c>
      <c r="F15" s="5">
        <v>0.68125000000000002</v>
      </c>
      <c r="G15" s="3">
        <v>41</v>
      </c>
      <c r="H15" s="10">
        <f t="shared" si="0"/>
        <v>39.80952380952381</v>
      </c>
      <c r="I15">
        <f t="shared" si="1"/>
        <v>0.66</v>
      </c>
    </row>
    <row r="16" spans="1:9" x14ac:dyDescent="0.2">
      <c r="A16" s="3" t="s">
        <v>13</v>
      </c>
      <c r="B16" s="4">
        <v>45714</v>
      </c>
      <c r="C16" s="3">
        <v>335</v>
      </c>
      <c r="D16" s="3" t="s">
        <v>65</v>
      </c>
      <c r="E16" s="3" t="s">
        <v>51</v>
      </c>
      <c r="F16" s="5">
        <v>0.70902777777777781</v>
      </c>
      <c r="G16" s="3">
        <v>41</v>
      </c>
      <c r="H16" s="10">
        <f t="shared" si="0"/>
        <v>39.80952380952381</v>
      </c>
      <c r="I16">
        <f t="shared" si="1"/>
        <v>0.66</v>
      </c>
    </row>
    <row r="17" spans="1:9" x14ac:dyDescent="0.2">
      <c r="A17" s="3" t="s">
        <v>13</v>
      </c>
      <c r="B17" s="4">
        <v>45714</v>
      </c>
      <c r="C17" s="3">
        <v>345</v>
      </c>
      <c r="D17" s="3" t="s">
        <v>64</v>
      </c>
      <c r="E17" s="3" t="s">
        <v>51</v>
      </c>
      <c r="F17" s="5">
        <v>0.72638888888888886</v>
      </c>
      <c r="G17" s="3">
        <v>41</v>
      </c>
      <c r="H17" s="10">
        <f t="shared" si="0"/>
        <v>39.80952380952381</v>
      </c>
      <c r="I17">
        <f t="shared" si="1"/>
        <v>0.66</v>
      </c>
    </row>
    <row r="18" spans="1:9" x14ac:dyDescent="0.2">
      <c r="A18" s="3" t="s">
        <v>13</v>
      </c>
      <c r="B18" s="4">
        <v>45714</v>
      </c>
      <c r="C18" s="3">
        <v>355</v>
      </c>
      <c r="D18" s="3" t="s">
        <v>63</v>
      </c>
      <c r="E18" s="3" t="s">
        <v>51</v>
      </c>
      <c r="F18" s="5">
        <v>0.74305555555555558</v>
      </c>
      <c r="G18" s="3">
        <v>40</v>
      </c>
      <c r="H18" s="10">
        <f t="shared" si="0"/>
        <v>39.80952380952381</v>
      </c>
      <c r="I18">
        <f t="shared" si="1"/>
        <v>0.66</v>
      </c>
    </row>
    <row r="19" spans="1:9" x14ac:dyDescent="0.2">
      <c r="A19" s="3" t="s">
        <v>13</v>
      </c>
      <c r="B19" s="4">
        <v>45714</v>
      </c>
      <c r="C19" s="3">
        <v>385</v>
      </c>
      <c r="D19" s="3" t="s">
        <v>48</v>
      </c>
      <c r="E19" s="3" t="s">
        <v>51</v>
      </c>
      <c r="F19" s="5">
        <v>0.77916666666666667</v>
      </c>
      <c r="G19" s="3">
        <v>40</v>
      </c>
      <c r="H19" s="10">
        <f t="shared" si="0"/>
        <v>39.80952380952381</v>
      </c>
      <c r="I19">
        <f t="shared" si="1"/>
        <v>0.66</v>
      </c>
    </row>
    <row r="20" spans="1:9" x14ac:dyDescent="0.2">
      <c r="A20" s="3" t="s">
        <v>13</v>
      </c>
      <c r="B20" s="4">
        <v>45714</v>
      </c>
      <c r="C20" s="3">
        <v>505</v>
      </c>
      <c r="D20" s="3" t="s">
        <v>63</v>
      </c>
      <c r="E20" s="3" t="s">
        <v>51</v>
      </c>
      <c r="F20" s="5">
        <v>0.81319444444444444</v>
      </c>
      <c r="G20" s="3">
        <v>40</v>
      </c>
      <c r="H20" s="10">
        <f t="shared" si="0"/>
        <v>39.80952380952381</v>
      </c>
      <c r="I20">
        <f t="shared" si="1"/>
        <v>0.66</v>
      </c>
    </row>
    <row r="21" spans="1:9" x14ac:dyDescent="0.2">
      <c r="A21" s="3" t="s">
        <v>13</v>
      </c>
      <c r="B21" s="4">
        <v>45714</v>
      </c>
      <c r="C21" s="3">
        <v>525</v>
      </c>
      <c r="D21" s="3" t="s">
        <v>64</v>
      </c>
      <c r="E21" s="3" t="s">
        <v>51</v>
      </c>
      <c r="F21" s="5">
        <v>0.83263888888888893</v>
      </c>
      <c r="G21" s="3">
        <v>39</v>
      </c>
      <c r="H21" s="10">
        <f t="shared" si="0"/>
        <v>39.80952380952381</v>
      </c>
      <c r="I21">
        <f t="shared" si="1"/>
        <v>0.66</v>
      </c>
    </row>
    <row r="22" spans="1:9" x14ac:dyDescent="0.2">
      <c r="A22" s="3" t="s">
        <v>13</v>
      </c>
      <c r="B22" s="4">
        <v>45714</v>
      </c>
      <c r="C22" s="3">
        <v>555</v>
      </c>
      <c r="D22" s="3" t="s">
        <v>48</v>
      </c>
      <c r="E22" s="3" t="s">
        <v>51</v>
      </c>
      <c r="F22" s="5">
        <v>0.88055555555555554</v>
      </c>
      <c r="G22" s="3">
        <v>38</v>
      </c>
      <c r="H22" s="10">
        <f t="shared" si="0"/>
        <v>39.80952380952381</v>
      </c>
      <c r="I22">
        <f t="shared" si="1"/>
        <v>0.66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B496B-7DC1-AA42-97EE-04A50C28BF2A}">
  <dimension ref="A1:I17"/>
  <sheetViews>
    <sheetView workbookViewId="0">
      <selection activeCell="H1" sqref="H1:I2"/>
    </sheetView>
  </sheetViews>
  <sheetFormatPr baseColWidth="10" defaultRowHeight="16" x14ac:dyDescent="0.2"/>
  <sheetData>
    <row r="1" spans="1:9" ht="45" x14ac:dyDescent="0.2">
      <c r="A1" s="2" t="s">
        <v>71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9" t="s">
        <v>72</v>
      </c>
      <c r="I1" s="9" t="s">
        <v>73</v>
      </c>
    </row>
    <row r="2" spans="1:9" x14ac:dyDescent="0.2">
      <c r="A2" s="3" t="s">
        <v>13</v>
      </c>
      <c r="B2" s="4">
        <v>45714</v>
      </c>
      <c r="C2" s="3">
        <v>104</v>
      </c>
      <c r="D2" s="3" t="s">
        <v>48</v>
      </c>
      <c r="E2" s="3" t="s">
        <v>49</v>
      </c>
      <c r="F2" s="5">
        <v>0.27569444444444446</v>
      </c>
      <c r="G2" s="3">
        <v>37</v>
      </c>
      <c r="H2" s="10">
        <f>AVERAGE($G$2:$G$17)</f>
        <v>36.8125</v>
      </c>
      <c r="I2">
        <f>ROUND((H2/60), 2)</f>
        <v>0.61</v>
      </c>
    </row>
    <row r="3" spans="1:9" x14ac:dyDescent="0.2">
      <c r="A3" s="3" t="s">
        <v>13</v>
      </c>
      <c r="B3" s="4">
        <v>45714</v>
      </c>
      <c r="C3" s="3">
        <v>114</v>
      </c>
      <c r="D3" s="3" t="s">
        <v>54</v>
      </c>
      <c r="E3" s="3" t="s">
        <v>49</v>
      </c>
      <c r="F3" s="5">
        <v>0.30833333333333335</v>
      </c>
      <c r="G3" s="3">
        <v>37</v>
      </c>
      <c r="H3" s="10">
        <f t="shared" ref="H3:H17" si="0">AVERAGE($G$2:$G$17)</f>
        <v>36.8125</v>
      </c>
      <c r="I3">
        <f t="shared" ref="I3:I17" si="1">ROUND((H3/60), 2)</f>
        <v>0.61</v>
      </c>
    </row>
    <row r="4" spans="1:9" x14ac:dyDescent="0.2">
      <c r="A4" s="3" t="s">
        <v>13</v>
      </c>
      <c r="B4" s="4">
        <v>45714</v>
      </c>
      <c r="C4" s="3">
        <v>134</v>
      </c>
      <c r="D4" s="3" t="s">
        <v>59</v>
      </c>
      <c r="E4" s="3" t="s">
        <v>49</v>
      </c>
      <c r="F4" s="5">
        <v>0.34444444444444444</v>
      </c>
      <c r="G4" s="3">
        <v>36</v>
      </c>
      <c r="H4" s="10">
        <f t="shared" si="0"/>
        <v>36.8125</v>
      </c>
      <c r="I4">
        <f t="shared" si="1"/>
        <v>0.61</v>
      </c>
    </row>
    <row r="5" spans="1:9" x14ac:dyDescent="0.2">
      <c r="A5" s="3" t="s">
        <v>13</v>
      </c>
      <c r="B5" s="4">
        <v>45714</v>
      </c>
      <c r="C5" s="3">
        <v>154</v>
      </c>
      <c r="D5" s="3" t="s">
        <v>50</v>
      </c>
      <c r="E5" s="3" t="s">
        <v>49</v>
      </c>
      <c r="F5" s="5">
        <v>0.37361111111111112</v>
      </c>
      <c r="G5" s="3">
        <v>36</v>
      </c>
      <c r="H5" s="10">
        <f t="shared" si="0"/>
        <v>36.8125</v>
      </c>
      <c r="I5">
        <f t="shared" si="1"/>
        <v>0.61</v>
      </c>
    </row>
    <row r="6" spans="1:9" x14ac:dyDescent="0.2">
      <c r="A6" s="3" t="s">
        <v>13</v>
      </c>
      <c r="B6" s="4">
        <v>45714</v>
      </c>
      <c r="C6" s="3">
        <v>184</v>
      </c>
      <c r="D6" s="3" t="s">
        <v>62</v>
      </c>
      <c r="E6" s="3" t="s">
        <v>49</v>
      </c>
      <c r="F6" s="5">
        <v>0.47222222222222221</v>
      </c>
      <c r="G6" s="3">
        <v>37</v>
      </c>
      <c r="H6" s="10">
        <f t="shared" si="0"/>
        <v>36.8125</v>
      </c>
      <c r="I6">
        <f t="shared" si="1"/>
        <v>0.61</v>
      </c>
    </row>
    <row r="7" spans="1:9" x14ac:dyDescent="0.2">
      <c r="A7" s="3" t="s">
        <v>13</v>
      </c>
      <c r="B7" s="4">
        <v>45714</v>
      </c>
      <c r="C7" s="3">
        <v>204</v>
      </c>
      <c r="D7" s="3" t="s">
        <v>58</v>
      </c>
      <c r="E7" s="3" t="s">
        <v>49</v>
      </c>
      <c r="F7" s="5">
        <v>0.48958333333333331</v>
      </c>
      <c r="G7" s="3">
        <v>35</v>
      </c>
      <c r="H7" s="10">
        <f t="shared" si="0"/>
        <v>36.8125</v>
      </c>
      <c r="I7">
        <f t="shared" si="1"/>
        <v>0.61</v>
      </c>
    </row>
    <row r="8" spans="1:9" x14ac:dyDescent="0.2">
      <c r="A8" s="3" t="s">
        <v>13</v>
      </c>
      <c r="B8" s="4">
        <v>45714</v>
      </c>
      <c r="C8" s="3">
        <v>214</v>
      </c>
      <c r="D8" s="3" t="s">
        <v>52</v>
      </c>
      <c r="E8" s="3" t="s">
        <v>49</v>
      </c>
      <c r="F8" s="5">
        <v>0.51736111111111116</v>
      </c>
      <c r="G8" s="3">
        <v>36</v>
      </c>
      <c r="H8" s="10">
        <f t="shared" si="0"/>
        <v>36.8125</v>
      </c>
      <c r="I8">
        <f t="shared" si="1"/>
        <v>0.61</v>
      </c>
    </row>
    <row r="9" spans="1:9" x14ac:dyDescent="0.2">
      <c r="A9" s="3" t="s">
        <v>13</v>
      </c>
      <c r="B9" s="4">
        <v>45714</v>
      </c>
      <c r="C9" s="3">
        <v>234</v>
      </c>
      <c r="D9" s="3" t="s">
        <v>48</v>
      </c>
      <c r="E9" s="3" t="s">
        <v>49</v>
      </c>
      <c r="F9" s="5">
        <v>0.54166666666666663</v>
      </c>
      <c r="G9" s="3">
        <v>37</v>
      </c>
      <c r="H9" s="10">
        <f t="shared" si="0"/>
        <v>36.8125</v>
      </c>
      <c r="I9">
        <f t="shared" si="1"/>
        <v>0.61</v>
      </c>
    </row>
    <row r="10" spans="1:9" x14ac:dyDescent="0.2">
      <c r="A10" s="3" t="s">
        <v>13</v>
      </c>
      <c r="B10" s="4">
        <v>45714</v>
      </c>
      <c r="C10" s="3">
        <v>264</v>
      </c>
      <c r="D10" s="3" t="s">
        <v>57</v>
      </c>
      <c r="E10" s="3" t="s">
        <v>49</v>
      </c>
      <c r="F10" s="5">
        <v>0.56874999999999998</v>
      </c>
      <c r="G10" s="3">
        <v>38</v>
      </c>
      <c r="H10" s="10">
        <f t="shared" si="0"/>
        <v>36.8125</v>
      </c>
      <c r="I10">
        <f t="shared" si="1"/>
        <v>0.61</v>
      </c>
    </row>
    <row r="11" spans="1:9" x14ac:dyDescent="0.2">
      <c r="A11" s="3" t="s">
        <v>13</v>
      </c>
      <c r="B11" s="4">
        <v>45714</v>
      </c>
      <c r="C11" s="3">
        <v>274</v>
      </c>
      <c r="D11" s="3" t="s">
        <v>50</v>
      </c>
      <c r="E11" s="3" t="s">
        <v>49</v>
      </c>
      <c r="F11" s="5">
        <v>0.59930555555555554</v>
      </c>
      <c r="G11" s="3">
        <v>38</v>
      </c>
      <c r="H11" s="10">
        <f t="shared" si="0"/>
        <v>36.8125</v>
      </c>
      <c r="I11">
        <f t="shared" si="1"/>
        <v>0.61</v>
      </c>
    </row>
    <row r="12" spans="1:9" x14ac:dyDescent="0.2">
      <c r="A12" s="3" t="s">
        <v>13</v>
      </c>
      <c r="B12" s="4">
        <v>45714</v>
      </c>
      <c r="C12" s="3">
        <v>294</v>
      </c>
      <c r="D12" s="3" t="s">
        <v>61</v>
      </c>
      <c r="E12" s="3" t="s">
        <v>49</v>
      </c>
      <c r="F12" s="5">
        <v>0.62708333333333333</v>
      </c>
      <c r="G12" s="3">
        <v>38</v>
      </c>
      <c r="H12" s="10">
        <f t="shared" si="0"/>
        <v>36.8125</v>
      </c>
      <c r="I12">
        <f t="shared" si="1"/>
        <v>0.61</v>
      </c>
    </row>
    <row r="13" spans="1:9" x14ac:dyDescent="0.2">
      <c r="A13" s="3" t="s">
        <v>13</v>
      </c>
      <c r="B13" s="4">
        <v>45714</v>
      </c>
      <c r="C13" s="3">
        <v>304</v>
      </c>
      <c r="D13" s="3" t="s">
        <v>62</v>
      </c>
      <c r="E13" s="3" t="s">
        <v>49</v>
      </c>
      <c r="F13" s="5">
        <v>0.65138888888888891</v>
      </c>
      <c r="G13" s="3">
        <v>38</v>
      </c>
      <c r="H13" s="10">
        <f t="shared" si="0"/>
        <v>36.8125</v>
      </c>
      <c r="I13">
        <f t="shared" si="1"/>
        <v>0.61</v>
      </c>
    </row>
    <row r="14" spans="1:9" x14ac:dyDescent="0.2">
      <c r="A14" s="3" t="s">
        <v>13</v>
      </c>
      <c r="B14" s="4">
        <v>45714</v>
      </c>
      <c r="C14" s="3">
        <v>334</v>
      </c>
      <c r="D14" s="3" t="s">
        <v>60</v>
      </c>
      <c r="E14" s="3" t="s">
        <v>49</v>
      </c>
      <c r="F14" s="5">
        <v>0.6958333333333333</v>
      </c>
      <c r="G14" s="3">
        <v>37</v>
      </c>
      <c r="H14" s="10">
        <f t="shared" si="0"/>
        <v>36.8125</v>
      </c>
      <c r="I14">
        <f t="shared" si="1"/>
        <v>0.61</v>
      </c>
    </row>
    <row r="15" spans="1:9" x14ac:dyDescent="0.2">
      <c r="A15" s="3" t="s">
        <v>13</v>
      </c>
      <c r="B15" s="4">
        <v>45714</v>
      </c>
      <c r="C15" s="3">
        <v>374</v>
      </c>
      <c r="D15" s="3" t="s">
        <v>61</v>
      </c>
      <c r="E15" s="3" t="s">
        <v>49</v>
      </c>
      <c r="F15" s="5">
        <v>0.7583333333333333</v>
      </c>
      <c r="G15" s="3">
        <v>37</v>
      </c>
      <c r="H15" s="10">
        <f t="shared" si="0"/>
        <v>36.8125</v>
      </c>
      <c r="I15">
        <f t="shared" si="1"/>
        <v>0.61</v>
      </c>
    </row>
    <row r="16" spans="1:9" x14ac:dyDescent="0.2">
      <c r="A16" s="3" t="s">
        <v>13</v>
      </c>
      <c r="B16" s="4">
        <v>45714</v>
      </c>
      <c r="C16" s="3">
        <v>504</v>
      </c>
      <c r="D16" s="3" t="s">
        <v>65</v>
      </c>
      <c r="E16" s="3" t="s">
        <v>49</v>
      </c>
      <c r="F16" s="5">
        <v>0.81319444444444444</v>
      </c>
      <c r="G16" s="3">
        <v>36</v>
      </c>
      <c r="H16" s="10">
        <f t="shared" si="0"/>
        <v>36.8125</v>
      </c>
      <c r="I16">
        <f t="shared" si="1"/>
        <v>0.61</v>
      </c>
    </row>
    <row r="17" spans="1:9" x14ac:dyDescent="0.2">
      <c r="A17" s="3" t="s">
        <v>13</v>
      </c>
      <c r="B17" s="4">
        <v>45714</v>
      </c>
      <c r="C17" s="3">
        <v>534</v>
      </c>
      <c r="D17" s="3" t="s">
        <v>61</v>
      </c>
      <c r="E17" s="3" t="s">
        <v>49</v>
      </c>
      <c r="F17" s="5">
        <v>0.85763888888888884</v>
      </c>
      <c r="G17" s="3">
        <v>36</v>
      </c>
      <c r="H17" s="10">
        <f t="shared" si="0"/>
        <v>36.8125</v>
      </c>
      <c r="I17">
        <f t="shared" si="1"/>
        <v>0.61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0F74A-57F9-B745-9218-7CE507904D46}">
  <dimension ref="A1:I16"/>
  <sheetViews>
    <sheetView workbookViewId="0">
      <selection activeCell="L12" sqref="L12"/>
    </sheetView>
  </sheetViews>
  <sheetFormatPr baseColWidth="10" defaultRowHeight="16" x14ac:dyDescent="0.2"/>
  <sheetData>
    <row r="1" spans="1:9" ht="45" x14ac:dyDescent="0.2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9" t="s">
        <v>72</v>
      </c>
      <c r="I1" s="9" t="s">
        <v>73</v>
      </c>
    </row>
    <row r="2" spans="1:9" x14ac:dyDescent="0.2">
      <c r="A2" s="3" t="s">
        <v>13</v>
      </c>
      <c r="B2" s="4">
        <v>45714</v>
      </c>
      <c r="C2" s="3">
        <v>107</v>
      </c>
      <c r="D2" s="3" t="s">
        <v>52</v>
      </c>
      <c r="E2" s="3" t="s">
        <v>53</v>
      </c>
      <c r="F2" s="5">
        <v>0.28194444444444444</v>
      </c>
      <c r="G2" s="3">
        <v>46</v>
      </c>
      <c r="H2" s="10">
        <f>AVERAGE($G$2:$G$16)</f>
        <v>48.2</v>
      </c>
      <c r="I2">
        <f>ROUND((H2/60), 2)</f>
        <v>0.8</v>
      </c>
    </row>
    <row r="3" spans="1:9" x14ac:dyDescent="0.2">
      <c r="A3" s="3" t="s">
        <v>13</v>
      </c>
      <c r="B3" s="4">
        <v>45714</v>
      </c>
      <c r="C3" s="3">
        <v>127</v>
      </c>
      <c r="D3" s="3" t="s">
        <v>58</v>
      </c>
      <c r="E3" s="3" t="s">
        <v>53</v>
      </c>
      <c r="F3" s="5">
        <v>0.32430555555555557</v>
      </c>
      <c r="G3" s="3">
        <v>47</v>
      </c>
      <c r="H3" s="10">
        <f t="shared" ref="H3:H16" si="0">AVERAGE($G$2:$G$16)</f>
        <v>48.2</v>
      </c>
      <c r="I3">
        <f t="shared" ref="I3:I16" si="1">ROUND((H3/60), 2)</f>
        <v>0.8</v>
      </c>
    </row>
    <row r="4" spans="1:9" x14ac:dyDescent="0.2">
      <c r="A4" s="3" t="s">
        <v>13</v>
      </c>
      <c r="B4" s="4">
        <v>45714</v>
      </c>
      <c r="C4" s="3">
        <v>137</v>
      </c>
      <c r="D4" s="3" t="s">
        <v>60</v>
      </c>
      <c r="E4" s="3" t="s">
        <v>53</v>
      </c>
      <c r="F4" s="5">
        <v>0.36666666666666664</v>
      </c>
      <c r="G4" s="3">
        <v>48</v>
      </c>
      <c r="H4" s="10">
        <f t="shared" si="0"/>
        <v>48.2</v>
      </c>
      <c r="I4">
        <f t="shared" si="1"/>
        <v>0.8</v>
      </c>
    </row>
    <row r="5" spans="1:9" x14ac:dyDescent="0.2">
      <c r="A5" s="3" t="s">
        <v>13</v>
      </c>
      <c r="B5" s="4">
        <v>45714</v>
      </c>
      <c r="C5" s="3">
        <v>167</v>
      </c>
      <c r="D5" s="3" t="s">
        <v>46</v>
      </c>
      <c r="E5" s="3" t="s">
        <v>53</v>
      </c>
      <c r="F5" s="5">
        <v>0.4236111111111111</v>
      </c>
      <c r="G5" s="3">
        <v>47</v>
      </c>
      <c r="H5" s="10">
        <f t="shared" si="0"/>
        <v>48.2</v>
      </c>
      <c r="I5">
        <f t="shared" si="1"/>
        <v>0.8</v>
      </c>
    </row>
    <row r="6" spans="1:9" x14ac:dyDescent="0.2">
      <c r="A6" s="3" t="s">
        <v>13</v>
      </c>
      <c r="B6" s="4">
        <v>45714</v>
      </c>
      <c r="C6" s="3">
        <v>207</v>
      </c>
      <c r="D6" s="3" t="s">
        <v>61</v>
      </c>
      <c r="E6" s="3" t="s">
        <v>53</v>
      </c>
      <c r="F6" s="5">
        <v>0.52569444444444446</v>
      </c>
      <c r="G6" s="3">
        <v>47</v>
      </c>
      <c r="H6" s="10">
        <f t="shared" si="0"/>
        <v>48.2</v>
      </c>
      <c r="I6">
        <f t="shared" si="1"/>
        <v>0.8</v>
      </c>
    </row>
    <row r="7" spans="1:9" x14ac:dyDescent="0.2">
      <c r="A7" s="3" t="s">
        <v>13</v>
      </c>
      <c r="B7" s="4">
        <v>45714</v>
      </c>
      <c r="C7" s="3">
        <v>257</v>
      </c>
      <c r="D7" s="3" t="s">
        <v>56</v>
      </c>
      <c r="E7" s="3" t="s">
        <v>53</v>
      </c>
      <c r="F7" s="5">
        <v>0.56458333333333333</v>
      </c>
      <c r="G7" s="3">
        <v>48</v>
      </c>
      <c r="H7" s="10">
        <f t="shared" si="0"/>
        <v>48.2</v>
      </c>
      <c r="I7">
        <f t="shared" si="1"/>
        <v>0.8</v>
      </c>
    </row>
    <row r="8" spans="1:9" x14ac:dyDescent="0.2">
      <c r="A8" s="3" t="s">
        <v>13</v>
      </c>
      <c r="B8" s="4">
        <v>45714</v>
      </c>
      <c r="C8" s="3">
        <v>267</v>
      </c>
      <c r="D8" s="3" t="s">
        <v>65</v>
      </c>
      <c r="E8" s="3" t="s">
        <v>53</v>
      </c>
      <c r="F8" s="5">
        <v>0.58680555555555558</v>
      </c>
      <c r="G8" s="3">
        <v>50</v>
      </c>
      <c r="H8" s="10">
        <f t="shared" si="0"/>
        <v>48.2</v>
      </c>
      <c r="I8">
        <f t="shared" si="1"/>
        <v>0.8</v>
      </c>
    </row>
    <row r="9" spans="1:9" x14ac:dyDescent="0.2">
      <c r="A9" s="3" t="s">
        <v>13</v>
      </c>
      <c r="B9" s="4">
        <v>45714</v>
      </c>
      <c r="C9" s="3">
        <v>287</v>
      </c>
      <c r="D9" s="3" t="s">
        <v>58</v>
      </c>
      <c r="E9" s="3" t="s">
        <v>53</v>
      </c>
      <c r="F9" s="5">
        <v>0.62916666666666665</v>
      </c>
      <c r="G9" s="3">
        <v>51</v>
      </c>
      <c r="H9" s="10">
        <f t="shared" si="0"/>
        <v>48.2</v>
      </c>
      <c r="I9">
        <f t="shared" si="1"/>
        <v>0.8</v>
      </c>
    </row>
    <row r="10" spans="1:9" x14ac:dyDescent="0.2">
      <c r="A10" s="3" t="s">
        <v>13</v>
      </c>
      <c r="B10" s="4">
        <v>45714</v>
      </c>
      <c r="C10" s="3">
        <v>297</v>
      </c>
      <c r="D10" s="3" t="s">
        <v>55</v>
      </c>
      <c r="E10" s="3" t="s">
        <v>53</v>
      </c>
      <c r="F10" s="5">
        <v>0.65694444444444444</v>
      </c>
      <c r="G10" s="3">
        <v>51</v>
      </c>
      <c r="H10" s="10">
        <f t="shared" si="0"/>
        <v>48.2</v>
      </c>
      <c r="I10">
        <f t="shared" si="1"/>
        <v>0.8</v>
      </c>
    </row>
    <row r="11" spans="1:9" x14ac:dyDescent="0.2">
      <c r="A11" s="3" t="s">
        <v>13</v>
      </c>
      <c r="B11" s="4">
        <v>45714</v>
      </c>
      <c r="C11" s="3">
        <v>307</v>
      </c>
      <c r="D11" s="3" t="s">
        <v>48</v>
      </c>
      <c r="E11" s="3" t="s">
        <v>53</v>
      </c>
      <c r="F11" s="5">
        <v>0.67291666666666672</v>
      </c>
      <c r="G11" s="3">
        <v>49</v>
      </c>
      <c r="H11" s="10">
        <f t="shared" si="0"/>
        <v>48.2</v>
      </c>
      <c r="I11">
        <f t="shared" si="1"/>
        <v>0.8</v>
      </c>
    </row>
    <row r="12" spans="1:9" x14ac:dyDescent="0.2">
      <c r="A12" s="3" t="s">
        <v>13</v>
      </c>
      <c r="B12" s="4">
        <v>45714</v>
      </c>
      <c r="C12" s="3">
        <v>327</v>
      </c>
      <c r="D12" s="3" t="s">
        <v>58</v>
      </c>
      <c r="E12" s="3" t="s">
        <v>53</v>
      </c>
      <c r="F12" s="5">
        <v>0.70347222222222228</v>
      </c>
      <c r="G12" s="3">
        <v>48</v>
      </c>
      <c r="H12" s="10">
        <f t="shared" si="0"/>
        <v>48.2</v>
      </c>
      <c r="I12">
        <f t="shared" si="1"/>
        <v>0.8</v>
      </c>
    </row>
    <row r="13" spans="1:9" x14ac:dyDescent="0.2">
      <c r="A13" s="3" t="s">
        <v>13</v>
      </c>
      <c r="B13" s="4">
        <v>45714</v>
      </c>
      <c r="C13" s="3">
        <v>337</v>
      </c>
      <c r="D13" s="3" t="s">
        <v>46</v>
      </c>
      <c r="E13" s="3" t="s">
        <v>53</v>
      </c>
      <c r="F13" s="5">
        <v>0.72152777777777777</v>
      </c>
      <c r="G13" s="3">
        <v>48</v>
      </c>
      <c r="H13" s="10">
        <f t="shared" si="0"/>
        <v>48.2</v>
      </c>
      <c r="I13">
        <f t="shared" si="1"/>
        <v>0.8</v>
      </c>
    </row>
    <row r="14" spans="1:9" x14ac:dyDescent="0.2">
      <c r="A14" s="3" t="s">
        <v>13</v>
      </c>
      <c r="B14" s="4">
        <v>45714</v>
      </c>
      <c r="C14" s="3">
        <v>367</v>
      </c>
      <c r="D14" s="3" t="s">
        <v>52</v>
      </c>
      <c r="E14" s="3" t="s">
        <v>53</v>
      </c>
      <c r="F14" s="5">
        <v>0.74513888888888891</v>
      </c>
      <c r="G14" s="3">
        <v>48</v>
      </c>
      <c r="H14" s="10">
        <f t="shared" si="0"/>
        <v>48.2</v>
      </c>
      <c r="I14">
        <f t="shared" si="1"/>
        <v>0.8</v>
      </c>
    </row>
    <row r="15" spans="1:9" x14ac:dyDescent="0.2">
      <c r="A15" s="3" t="s">
        <v>13</v>
      </c>
      <c r="B15" s="4">
        <v>45714</v>
      </c>
      <c r="C15" s="3">
        <v>387</v>
      </c>
      <c r="D15" s="3" t="s">
        <v>55</v>
      </c>
      <c r="E15" s="3" t="s">
        <v>53</v>
      </c>
      <c r="F15" s="5">
        <v>0.7895833333333333</v>
      </c>
      <c r="G15" s="3">
        <v>47</v>
      </c>
      <c r="H15" s="10">
        <f t="shared" si="0"/>
        <v>48.2</v>
      </c>
      <c r="I15">
        <f t="shared" si="1"/>
        <v>0.8</v>
      </c>
    </row>
    <row r="16" spans="1:9" x14ac:dyDescent="0.2">
      <c r="A16" s="3" t="s">
        <v>13</v>
      </c>
      <c r="B16" s="4">
        <v>45714</v>
      </c>
      <c r="C16" s="3">
        <v>517</v>
      </c>
      <c r="D16" s="3" t="s">
        <v>46</v>
      </c>
      <c r="E16" s="3" t="s">
        <v>53</v>
      </c>
      <c r="F16" s="5">
        <v>0.83819444444444446</v>
      </c>
      <c r="G16" s="3">
        <v>48</v>
      </c>
      <c r="H16" s="10">
        <f t="shared" si="0"/>
        <v>48.2</v>
      </c>
      <c r="I16">
        <f t="shared" si="1"/>
        <v>0.8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F8122-0BC2-394D-A053-A8E462DDF33B}">
  <dimension ref="A1:I13"/>
  <sheetViews>
    <sheetView workbookViewId="0">
      <selection activeCell="H13" sqref="H2:I13"/>
    </sheetView>
  </sheetViews>
  <sheetFormatPr baseColWidth="10" defaultRowHeight="16" x14ac:dyDescent="0.2"/>
  <sheetData>
    <row r="1" spans="1:9" ht="45" x14ac:dyDescent="0.2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9" t="s">
        <v>72</v>
      </c>
      <c r="I1" s="9" t="s">
        <v>73</v>
      </c>
    </row>
    <row r="2" spans="1:9" x14ac:dyDescent="0.2">
      <c r="A2" s="3" t="s">
        <v>13</v>
      </c>
      <c r="B2" s="4">
        <v>45714</v>
      </c>
      <c r="C2" s="3">
        <v>101</v>
      </c>
      <c r="D2" s="3" t="s">
        <v>46</v>
      </c>
      <c r="E2" s="3" t="s">
        <v>47</v>
      </c>
      <c r="F2" s="5">
        <v>0.29375000000000001</v>
      </c>
      <c r="G2" s="3">
        <v>53</v>
      </c>
      <c r="H2" s="10">
        <f>AVERAGE($G$2:$G$13)</f>
        <v>54.833333333333336</v>
      </c>
      <c r="I2">
        <f>ROUND((H2/60), 2)</f>
        <v>0.91</v>
      </c>
    </row>
    <row r="3" spans="1:9" x14ac:dyDescent="0.2">
      <c r="A3" s="3" t="s">
        <v>13</v>
      </c>
      <c r="B3" s="4">
        <v>45714</v>
      </c>
      <c r="C3" s="3">
        <v>121</v>
      </c>
      <c r="D3" s="3" t="s">
        <v>56</v>
      </c>
      <c r="E3" s="3" t="s">
        <v>47</v>
      </c>
      <c r="F3" s="5">
        <v>0.35</v>
      </c>
      <c r="G3" s="3">
        <v>54</v>
      </c>
      <c r="H3" s="10">
        <f t="shared" ref="H3:H13" si="0">AVERAGE($G$2:$G$13)</f>
        <v>54.833333333333336</v>
      </c>
      <c r="I3">
        <f t="shared" ref="I3:I13" si="1">ROUND((H3/60), 2)</f>
        <v>0.91</v>
      </c>
    </row>
    <row r="4" spans="1:9" x14ac:dyDescent="0.2">
      <c r="A4" s="3" t="s">
        <v>13</v>
      </c>
      <c r="B4" s="4">
        <v>45714</v>
      </c>
      <c r="C4" s="3">
        <v>141</v>
      </c>
      <c r="D4" s="3" t="s">
        <v>61</v>
      </c>
      <c r="E4" s="3" t="s">
        <v>47</v>
      </c>
      <c r="F4" s="5">
        <v>0.38819444444444445</v>
      </c>
      <c r="G4" s="3">
        <v>54</v>
      </c>
      <c r="H4" s="10">
        <f t="shared" si="0"/>
        <v>54.833333333333336</v>
      </c>
      <c r="I4">
        <f t="shared" si="1"/>
        <v>0.91</v>
      </c>
    </row>
    <row r="5" spans="1:9" x14ac:dyDescent="0.2">
      <c r="A5" s="3" t="s">
        <v>13</v>
      </c>
      <c r="B5" s="4">
        <v>45714</v>
      </c>
      <c r="C5" s="3">
        <v>171</v>
      </c>
      <c r="D5" s="3" t="s">
        <v>54</v>
      </c>
      <c r="E5" s="3" t="s">
        <v>47</v>
      </c>
      <c r="F5" s="5">
        <v>0.44444444444444442</v>
      </c>
      <c r="G5" s="3">
        <v>54</v>
      </c>
      <c r="H5" s="10">
        <f t="shared" si="0"/>
        <v>54.833333333333336</v>
      </c>
      <c r="I5">
        <f t="shared" si="1"/>
        <v>0.91</v>
      </c>
    </row>
    <row r="6" spans="1:9" x14ac:dyDescent="0.2">
      <c r="A6" s="3" t="s">
        <v>13</v>
      </c>
      <c r="B6" s="4">
        <v>45714</v>
      </c>
      <c r="C6" s="3">
        <v>181</v>
      </c>
      <c r="D6" s="3" t="s">
        <v>59</v>
      </c>
      <c r="E6" s="3" t="s">
        <v>47</v>
      </c>
      <c r="F6" s="5">
        <v>0.47222222222222221</v>
      </c>
      <c r="G6" s="3">
        <v>55</v>
      </c>
      <c r="H6" s="10">
        <f t="shared" si="0"/>
        <v>54.833333333333336</v>
      </c>
      <c r="I6">
        <f t="shared" si="1"/>
        <v>0.91</v>
      </c>
    </row>
    <row r="7" spans="1:9" x14ac:dyDescent="0.2">
      <c r="A7" s="3" t="s">
        <v>13</v>
      </c>
      <c r="B7" s="4">
        <v>45714</v>
      </c>
      <c r="C7" s="3">
        <v>201</v>
      </c>
      <c r="D7" s="3" t="s">
        <v>60</v>
      </c>
      <c r="E7" s="3" t="s">
        <v>47</v>
      </c>
      <c r="F7" s="5">
        <v>0.51736111111111116</v>
      </c>
      <c r="G7" s="3">
        <v>56</v>
      </c>
      <c r="H7" s="10">
        <f t="shared" si="0"/>
        <v>54.833333333333336</v>
      </c>
      <c r="I7">
        <f t="shared" si="1"/>
        <v>0.91</v>
      </c>
    </row>
    <row r="8" spans="1:9" x14ac:dyDescent="0.2">
      <c r="A8" s="3" t="s">
        <v>13</v>
      </c>
      <c r="B8" s="4">
        <v>45714</v>
      </c>
      <c r="C8" s="3">
        <v>241</v>
      </c>
      <c r="D8" s="3" t="s">
        <v>54</v>
      </c>
      <c r="E8" s="3" t="s">
        <v>47</v>
      </c>
      <c r="F8" s="5">
        <v>0.56597222222222221</v>
      </c>
      <c r="G8" s="3">
        <v>55</v>
      </c>
      <c r="H8" s="10">
        <f t="shared" si="0"/>
        <v>54.833333333333336</v>
      </c>
      <c r="I8">
        <f t="shared" si="1"/>
        <v>0.91</v>
      </c>
    </row>
    <row r="9" spans="1:9" x14ac:dyDescent="0.2">
      <c r="A9" s="3" t="s">
        <v>13</v>
      </c>
      <c r="B9" s="4">
        <v>45714</v>
      </c>
      <c r="C9" s="3">
        <v>251</v>
      </c>
      <c r="D9" s="3" t="s">
        <v>64</v>
      </c>
      <c r="E9" s="3" t="s">
        <v>47</v>
      </c>
      <c r="F9" s="5">
        <v>0.60902777777777772</v>
      </c>
      <c r="G9" s="3">
        <v>57</v>
      </c>
      <c r="H9" s="10">
        <f t="shared" si="0"/>
        <v>54.833333333333336</v>
      </c>
      <c r="I9">
        <f t="shared" si="1"/>
        <v>0.91</v>
      </c>
    </row>
    <row r="10" spans="1:9" x14ac:dyDescent="0.2">
      <c r="A10" s="3" t="s">
        <v>13</v>
      </c>
      <c r="B10" s="4">
        <v>45714</v>
      </c>
      <c r="C10" s="3">
        <v>261</v>
      </c>
      <c r="D10" s="3" t="s">
        <v>54</v>
      </c>
      <c r="E10" s="3" t="s">
        <v>47</v>
      </c>
      <c r="F10" s="5">
        <v>0.69513888888888886</v>
      </c>
      <c r="G10" s="3">
        <v>56</v>
      </c>
      <c r="H10" s="10">
        <f t="shared" si="0"/>
        <v>54.833333333333336</v>
      </c>
      <c r="I10">
        <f t="shared" si="1"/>
        <v>0.91</v>
      </c>
    </row>
    <row r="11" spans="1:9" x14ac:dyDescent="0.2">
      <c r="A11" s="3" t="s">
        <v>13</v>
      </c>
      <c r="B11" s="4">
        <v>45714</v>
      </c>
      <c r="C11" s="3">
        <v>281</v>
      </c>
      <c r="D11" s="3" t="s">
        <v>50</v>
      </c>
      <c r="E11" s="3" t="s">
        <v>47</v>
      </c>
      <c r="F11" s="5">
        <v>0.73263888888888884</v>
      </c>
      <c r="G11" s="3">
        <v>55</v>
      </c>
      <c r="H11" s="10">
        <f t="shared" si="0"/>
        <v>54.833333333333336</v>
      </c>
      <c r="I11">
        <f t="shared" si="1"/>
        <v>0.91</v>
      </c>
    </row>
    <row r="12" spans="1:9" x14ac:dyDescent="0.2">
      <c r="A12" s="3" t="s">
        <v>13</v>
      </c>
      <c r="B12" s="4">
        <v>45714</v>
      </c>
      <c r="C12" s="3">
        <v>391</v>
      </c>
      <c r="D12" s="3" t="s">
        <v>62</v>
      </c>
      <c r="E12" s="3" t="s">
        <v>47</v>
      </c>
      <c r="F12" s="5">
        <v>0.81944444444444442</v>
      </c>
      <c r="G12" s="3">
        <v>55</v>
      </c>
      <c r="H12" s="10">
        <f t="shared" si="0"/>
        <v>54.833333333333336</v>
      </c>
      <c r="I12">
        <f t="shared" si="1"/>
        <v>0.91</v>
      </c>
    </row>
    <row r="13" spans="1:9" x14ac:dyDescent="0.2">
      <c r="A13" s="3" t="s">
        <v>13</v>
      </c>
      <c r="B13" s="4">
        <v>45714</v>
      </c>
      <c r="C13" s="3">
        <v>561</v>
      </c>
      <c r="D13" s="3" t="s">
        <v>52</v>
      </c>
      <c r="E13" s="3" t="s">
        <v>47</v>
      </c>
      <c r="F13" s="5">
        <v>0.86736111111111114</v>
      </c>
      <c r="G13" s="3">
        <v>54</v>
      </c>
      <c r="H13" s="10">
        <f t="shared" si="0"/>
        <v>54.833333333333336</v>
      </c>
      <c r="I13">
        <f t="shared" si="1"/>
        <v>0.91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7A844-FBCA-9945-8688-97E7FEE2A4B2}">
  <dimension ref="A1:D5"/>
  <sheetViews>
    <sheetView tabSelected="1" workbookViewId="0">
      <selection sqref="A1:D5"/>
    </sheetView>
  </sheetViews>
  <sheetFormatPr baseColWidth="10" defaultRowHeight="16" x14ac:dyDescent="0.2"/>
  <sheetData>
    <row r="1" spans="1:4" x14ac:dyDescent="0.2">
      <c r="A1" t="s">
        <v>74</v>
      </c>
      <c r="B1" t="s">
        <v>75</v>
      </c>
      <c r="C1" t="s">
        <v>76</v>
      </c>
      <c r="D1" t="s">
        <v>77</v>
      </c>
    </row>
    <row r="2" spans="1:4" x14ac:dyDescent="0.2">
      <c r="A2" s="8" t="s">
        <v>78</v>
      </c>
      <c r="B2" t="s">
        <v>82</v>
      </c>
      <c r="C2" s="6">
        <v>21</v>
      </c>
      <c r="D2">
        <v>0.66</v>
      </c>
    </row>
    <row r="3" spans="1:4" x14ac:dyDescent="0.2">
      <c r="A3" s="8" t="s">
        <v>80</v>
      </c>
      <c r="B3" t="s">
        <v>82</v>
      </c>
      <c r="C3" s="6">
        <v>15</v>
      </c>
      <c r="D3">
        <v>0.8</v>
      </c>
    </row>
    <row r="4" spans="1:4" x14ac:dyDescent="0.2">
      <c r="A4" s="8" t="s">
        <v>79</v>
      </c>
      <c r="B4" t="s">
        <v>82</v>
      </c>
      <c r="C4" s="6">
        <v>16</v>
      </c>
      <c r="D4">
        <v>0.61</v>
      </c>
    </row>
    <row r="5" spans="1:4" x14ac:dyDescent="0.2">
      <c r="A5" s="8" t="s">
        <v>81</v>
      </c>
      <c r="B5" t="s">
        <v>82</v>
      </c>
      <c r="C5" s="6">
        <v>12</v>
      </c>
      <c r="D5">
        <v>0.91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HNL_arrivals</vt:lpstr>
      <vt:lpstr>HNL_arrivals_counts</vt:lpstr>
      <vt:lpstr>HNL_island_arrivals</vt:lpstr>
      <vt:lpstr>HNL_island_arrivals_counts</vt:lpstr>
      <vt:lpstr>Kahului_HNL_arrivals</vt:lpstr>
      <vt:lpstr>Lihue_HNL_arrivals</vt:lpstr>
      <vt:lpstr>Kona_HNL_arrivals</vt:lpstr>
      <vt:lpstr>Hilo_HNL_arrivals</vt:lpstr>
      <vt:lpstr>HNL_island_arrivals_summary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Allison Noble Kane</cp:lastModifiedBy>
  <dcterms:created xsi:type="dcterms:W3CDTF">2026-03-13T18:28:54Z</dcterms:created>
  <dcterms:modified xsi:type="dcterms:W3CDTF">2026-03-13T18:32:48Z</dcterms:modified>
</cp:coreProperties>
</file>