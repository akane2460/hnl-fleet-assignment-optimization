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ane9080/LocalProjects/MSDS460/FinalProject/data/"/>
    </mc:Choice>
  </mc:AlternateContent>
  <xr:revisionPtr revIDLastSave="0" documentId="8_{12EDB2E8-2E57-DD4A-B4A1-BC69321D09A7}" xr6:coauthVersionLast="47" xr6:coauthVersionMax="47" xr10:uidLastSave="{00000000-0000-0000-0000-000000000000}"/>
  <bookViews>
    <workbookView xWindow="2980" yWindow="2880" windowWidth="27640" windowHeight="16140" firstSheet="3" activeTab="8" xr2:uid="{8465D4CA-BFCA-5F45-8AFD-88CC1D8A08D5}"/>
  </bookViews>
  <sheets>
    <sheet name="HNL_departures" sheetId="1" r:id="rId1"/>
    <sheet name="HNL_departures_counts" sheetId="4" r:id="rId2"/>
    <sheet name="HNL_island_departures" sheetId="2" r:id="rId3"/>
    <sheet name="HNL_island_departures_counts" sheetId="5" r:id="rId4"/>
    <sheet name="HNL_Kahului_departures" sheetId="9" r:id="rId5"/>
    <sheet name="HNL_Lihue_departures" sheetId="8" r:id="rId6"/>
    <sheet name="HNL_Kona_departures" sheetId="7" r:id="rId7"/>
    <sheet name="HNL_Hilo_departures" sheetId="3" r:id="rId8"/>
    <sheet name="HNL_island_departures_summary" sheetId="10" r:id="rId9"/>
  </sheets>
  <definedNames>
    <definedName name="_xlnm._FilterDatabase" localSheetId="2" hidden="1">HNL_island_departures!$E$1:$E$84</definedName>
  </definedNames>
  <calcPr calcId="191029"/>
  <pivotCaches>
    <pivotCache cacheId="1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9" l="1"/>
  <c r="H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I13" i="3"/>
  <c r="I12" i="3"/>
  <c r="I11" i="3"/>
  <c r="I10" i="3"/>
  <c r="I9" i="3"/>
  <c r="I8" i="3"/>
  <c r="I7" i="3"/>
  <c r="I6" i="3"/>
  <c r="I5" i="3"/>
  <c r="I4" i="3"/>
  <c r="I3" i="3"/>
  <c r="I2" i="3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2" i="7"/>
  <c r="I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2" i="8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2" i="7"/>
  <c r="H3" i="3"/>
  <c r="H4" i="3"/>
  <c r="H5" i="3"/>
  <c r="H6" i="3"/>
  <c r="H7" i="3"/>
  <c r="H8" i="3"/>
  <c r="H9" i="3"/>
  <c r="H10" i="3"/>
  <c r="H11" i="3"/>
  <c r="H12" i="3"/>
  <c r="H13" i="3"/>
  <c r="H2" i="3"/>
</calcChain>
</file>

<file path=xl/sharedStrings.xml><?xml version="1.0" encoding="utf-8"?>
<sst xmlns="http://schemas.openxmlformats.org/spreadsheetml/2006/main" count="731" uniqueCount="82">
  <si>
    <t>Detailed Statistics Departures</t>
  </si>
  <si>
    <t>Origin Airport: Honolulu, HI: Daniel K Inouye International (HNL)</t>
  </si>
  <si>
    <t>Airline: Hawaiian Airlines Inc. (HA)</t>
  </si>
  <si>
    <t>Month(s): February</t>
  </si>
  <si>
    <t>Day(s): 26</t>
  </si>
  <si>
    <t>Year(s): 2025</t>
  </si>
  <si>
    <t>Carrier Code</t>
  </si>
  <si>
    <t>Date (MM/DD/YYYY)</t>
  </si>
  <si>
    <t>Flight Number</t>
  </si>
  <si>
    <t>Tail Number</t>
  </si>
  <si>
    <t>Destination Airport</t>
  </si>
  <si>
    <t>Scheduled departure time</t>
  </si>
  <si>
    <t>Scheduled elapsed time (Minutes)</t>
  </si>
  <si>
    <t>HA</t>
  </si>
  <si>
    <t>N780HA</t>
  </si>
  <si>
    <t>LAX</t>
  </si>
  <si>
    <t>N390HA</t>
  </si>
  <si>
    <t>N379HA</t>
  </si>
  <si>
    <t>LAS</t>
  </si>
  <si>
    <t>N386HA</t>
  </si>
  <si>
    <t>N361HA</t>
  </si>
  <si>
    <t>SFO</t>
  </si>
  <si>
    <t>N384HA</t>
  </si>
  <si>
    <t>SAN</t>
  </si>
  <si>
    <t>N382HA</t>
  </si>
  <si>
    <t>N218HA</t>
  </si>
  <si>
    <t>SMF</t>
  </si>
  <si>
    <t>N388HA</t>
  </si>
  <si>
    <t>SEA</t>
  </si>
  <si>
    <t>N781HA</t>
  </si>
  <si>
    <t>PHX</t>
  </si>
  <si>
    <t>N228HA</t>
  </si>
  <si>
    <t>OAK</t>
  </si>
  <si>
    <t>N378HA</t>
  </si>
  <si>
    <t>JFK</t>
  </si>
  <si>
    <t>N370HA</t>
  </si>
  <si>
    <t>PDX</t>
  </si>
  <si>
    <t>N202HA</t>
  </si>
  <si>
    <t>LGB</t>
  </si>
  <si>
    <t>N216HA</t>
  </si>
  <si>
    <t>ONT</t>
  </si>
  <si>
    <t>N385HA</t>
  </si>
  <si>
    <t>BOS</t>
  </si>
  <si>
    <t>N223HA</t>
  </si>
  <si>
    <t>SJC</t>
  </si>
  <si>
    <t>N205HA</t>
  </si>
  <si>
    <t>SLC</t>
  </si>
  <si>
    <t>N492HA</t>
  </si>
  <si>
    <t>LIH</t>
  </si>
  <si>
    <t>N480HA</t>
  </si>
  <si>
    <t>OGG</t>
  </si>
  <si>
    <t>N491HA</t>
  </si>
  <si>
    <t>KOA</t>
  </si>
  <si>
    <t>N487HA</t>
  </si>
  <si>
    <t>ITO</t>
  </si>
  <si>
    <t>N484HA</t>
  </si>
  <si>
    <t>N489HA</t>
  </si>
  <si>
    <t>N476HA</t>
  </si>
  <si>
    <t>N494HA</t>
  </si>
  <si>
    <t>N478HA</t>
  </si>
  <si>
    <t>N490HA</t>
  </si>
  <si>
    <t>N495HA</t>
  </si>
  <si>
    <t>N493HA</t>
  </si>
  <si>
    <t>N477HA</t>
  </si>
  <si>
    <t>N479HA</t>
  </si>
  <si>
    <t>N483HA</t>
  </si>
  <si>
    <t>N485HA</t>
  </si>
  <si>
    <t>SOURCE: Bureau of Transportation Statistics</t>
  </si>
  <si>
    <t>Row Labels</t>
  </si>
  <si>
    <t>Grand Total</t>
  </si>
  <si>
    <t>Count of Flight Number</t>
  </si>
  <si>
    <t>Average Airtime (mins)</t>
  </si>
  <si>
    <t>Average Airtime (hours)</t>
  </si>
  <si>
    <t>Origin</t>
  </si>
  <si>
    <t>Destination</t>
  </si>
  <si>
    <t>Demand</t>
  </si>
  <si>
    <t>Travel_time</t>
  </si>
  <si>
    <t>Kahului</t>
  </si>
  <si>
    <t>Kona</t>
  </si>
  <si>
    <t>Lihue</t>
  </si>
  <si>
    <t>Hilo</t>
  </si>
  <si>
    <t>HNL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</si>
</sst>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9" fillId="0" borderId="0" xfId="0" applyFont="1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20" fontId="18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wrapText="1"/>
    </xf>
    <xf numFmtId="14" fontId="21" fillId="0" borderId="13" xfId="0" applyNumberFormat="1" applyFont="1" applyBorder="1" applyAlignment="1">
      <alignment wrapText="1"/>
    </xf>
    <xf numFmtId="0" fontId="21" fillId="0" borderId="13" xfId="0" applyFont="1" applyBorder="1" applyAlignment="1">
      <alignment wrapText="1"/>
    </xf>
    <xf numFmtId="20" fontId="21" fillId="0" borderId="13" xfId="0" applyNumberFormat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15" xfId="0" applyFont="1" applyBorder="1" applyAlignment="1">
      <alignment horizontal="center" vertical="center" wrapText="1"/>
    </xf>
    <xf numFmtId="0" fontId="18" fillId="0" borderId="15" xfId="0" applyFont="1" applyBorder="1" applyAlignment="1">
      <alignment wrapText="1"/>
    </xf>
    <xf numFmtId="0" fontId="19" fillId="0" borderId="14" xfId="0" applyFont="1" applyBorder="1" applyAlignment="1">
      <alignment horizontal="center" vertical="center" wrapText="1"/>
    </xf>
    <xf numFmtId="0" fontId="0" fillId="0" borderId="14" xfId="0" applyBorder="1"/>
    <xf numFmtId="0" fontId="22" fillId="0" borderId="0" xfId="0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ison Noble Kane" refreshedDate="46094.490756944448" createdVersion="8" refreshedVersion="8" minRefreshableVersion="3" recordCount="83" xr:uid="{5201FC68-504E-8742-933D-F8523B1D178D}">
  <cacheSource type="worksheet">
    <worksheetSource ref="A1:G84" sheet="HNL_island_departures"/>
  </cacheSource>
  <cacheFields count="7">
    <cacheField name="Carrier Code" numFmtId="0">
      <sharedItems/>
    </cacheField>
    <cacheField name="Date (MM/DD/YYYY)" numFmtId="14">
      <sharedItems containsSemiMixedTypes="0" containsNonDate="0" containsDate="1" containsString="0" minDate="2025-02-26T00:00:00" maxDate="2025-02-27T00:00:00"/>
    </cacheField>
    <cacheField name="Flight Number" numFmtId="0">
      <sharedItems containsSemiMixedTypes="0" containsString="0" containsNumber="1" containsInteger="1" minValue="2" maxValue="568" count="83">
        <n v="2"/>
        <n v="4"/>
        <n v="6"/>
        <n v="8"/>
        <n v="10"/>
        <n v="12"/>
        <n v="16"/>
        <n v="18"/>
        <n v="20"/>
        <n v="22"/>
        <n v="36"/>
        <n v="48"/>
        <n v="50"/>
        <n v="52"/>
        <n v="70"/>
        <n v="80"/>
        <n v="90"/>
        <n v="92"/>
        <n v="96"/>
        <n v="113"/>
        <n v="116"/>
        <n v="118"/>
        <n v="122"/>
        <n v="126"/>
        <n v="128"/>
        <n v="133"/>
        <n v="142"/>
        <n v="146"/>
        <n v="152"/>
        <n v="153"/>
        <n v="156"/>
        <n v="158"/>
        <n v="166"/>
        <n v="178"/>
        <n v="192"/>
        <n v="193"/>
        <n v="198"/>
        <n v="203"/>
        <n v="216"/>
        <n v="232"/>
        <n v="233"/>
        <n v="236"/>
        <n v="238"/>
        <n v="242"/>
        <n v="253"/>
        <n v="258"/>
        <n v="266"/>
        <n v="268"/>
        <n v="272"/>
        <n v="276"/>
        <n v="283"/>
        <n v="286"/>
        <n v="298"/>
        <n v="303"/>
        <n v="306"/>
        <n v="312"/>
        <n v="318"/>
        <n v="326"/>
        <n v="336"/>
        <n v="338"/>
        <n v="343"/>
        <n v="346"/>
        <n v="352"/>
        <n v="356"/>
        <n v="363"/>
        <n v="368"/>
        <n v="373"/>
        <n v="376"/>
        <n v="386"/>
        <n v="388"/>
        <n v="392"/>
        <n v="393"/>
        <n v="396"/>
        <n v="503"/>
        <n v="506"/>
        <n v="508"/>
        <n v="516"/>
        <n v="532"/>
        <n v="533"/>
        <n v="546"/>
        <n v="552"/>
        <n v="563"/>
        <n v="568"/>
      </sharedItems>
    </cacheField>
    <cacheField name="Tail Number" numFmtId="0">
      <sharedItems/>
    </cacheField>
    <cacheField name="Destination Airport" numFmtId="0">
      <sharedItems count="19">
        <s v="LAX"/>
        <s v="LAS"/>
        <s v="SFO"/>
        <s v="SAN"/>
        <s v="SMF"/>
        <s v="SEA"/>
        <s v="PHX"/>
        <s v="OAK"/>
        <s v="JFK"/>
        <s v="PDX"/>
        <s v="LGB"/>
        <s v="ONT"/>
        <s v="BOS"/>
        <s v="SJC"/>
        <s v="SLC"/>
        <s v="LIH"/>
        <s v="OGG"/>
        <s v="KOA"/>
        <s v="ITO"/>
      </sharedItems>
    </cacheField>
    <cacheField name="Scheduled departure time" numFmtId="20">
      <sharedItems containsSemiMixedTypes="0" containsNonDate="0" containsDate="1" containsString="0" minDate="1899-12-30T05:36:00" maxDate="1899-12-30T23:15:00"/>
    </cacheField>
    <cacheField name="Scheduled elapsed time (Minutes)" numFmtId="0">
      <sharedItems containsSemiMixedTypes="0" containsString="0" containsNumber="1" containsInteger="1" minValue="39" maxValue="5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HA"/>
    <d v="2025-02-26T00:00:00"/>
    <x v="0"/>
    <s v="N780HA"/>
    <x v="0"/>
    <d v="1899-12-30T13:55:00"/>
    <n v="315"/>
  </r>
  <r>
    <s v="HA"/>
    <d v="2025-02-26T00:00:00"/>
    <x v="1"/>
    <s v="N390HA"/>
    <x v="0"/>
    <d v="1899-12-30T21:40:00"/>
    <n v="320"/>
  </r>
  <r>
    <s v="HA"/>
    <d v="2025-02-26T00:00:00"/>
    <x v="2"/>
    <s v="N379HA"/>
    <x v="1"/>
    <d v="1899-12-30T08:05:00"/>
    <n v="345"/>
  </r>
  <r>
    <s v="HA"/>
    <d v="2025-02-26T00:00:00"/>
    <x v="3"/>
    <s v="N386HA"/>
    <x v="1"/>
    <d v="1899-12-30T23:15:00"/>
    <n v="340"/>
  </r>
  <r>
    <s v="HA"/>
    <d v="2025-02-26T00:00:00"/>
    <x v="4"/>
    <s v="N386HA"/>
    <x v="0"/>
    <d v="1899-12-30T07:55:00"/>
    <n v="325"/>
  </r>
  <r>
    <s v="HA"/>
    <d v="2025-02-26T00:00:00"/>
    <x v="5"/>
    <s v="N361HA"/>
    <x v="2"/>
    <d v="1899-12-30T12:35:00"/>
    <n v="310"/>
  </r>
  <r>
    <s v="HA"/>
    <d v="2025-02-26T00:00:00"/>
    <x v="6"/>
    <s v="N384HA"/>
    <x v="3"/>
    <d v="1899-12-30T12:15:00"/>
    <n v="320"/>
  </r>
  <r>
    <s v="HA"/>
    <d v="2025-02-26T00:00:00"/>
    <x v="7"/>
    <s v="N382HA"/>
    <x v="1"/>
    <d v="1899-12-30T15:40:00"/>
    <n v="345"/>
  </r>
  <r>
    <s v="HA"/>
    <d v="2025-02-26T00:00:00"/>
    <x v="8"/>
    <s v="N218HA"/>
    <x v="4"/>
    <d v="1899-12-30T14:00:00"/>
    <n v="320"/>
  </r>
  <r>
    <s v="HA"/>
    <d v="2025-02-26T00:00:00"/>
    <x v="9"/>
    <s v="N388HA"/>
    <x v="5"/>
    <d v="1899-12-30T13:35:00"/>
    <n v="345"/>
  </r>
  <r>
    <s v="HA"/>
    <d v="2025-02-26T00:00:00"/>
    <x v="10"/>
    <s v="N781HA"/>
    <x v="6"/>
    <d v="1899-12-30T15:00:00"/>
    <n v="350"/>
  </r>
  <r>
    <s v="HA"/>
    <d v="2025-02-26T00:00:00"/>
    <x v="11"/>
    <s v="N228HA"/>
    <x v="7"/>
    <d v="1899-12-30T12:10:00"/>
    <n v="315"/>
  </r>
  <r>
    <s v="HA"/>
    <d v="2025-02-26T00:00:00"/>
    <x v="12"/>
    <s v="N378HA"/>
    <x v="8"/>
    <d v="1899-12-30T16:45:00"/>
    <n v="580"/>
  </r>
  <r>
    <s v="HA"/>
    <d v="2025-02-26T00:00:00"/>
    <x v="13"/>
    <s v="N370HA"/>
    <x v="9"/>
    <d v="1899-12-30T11:30:00"/>
    <n v="330"/>
  </r>
  <r>
    <s v="HA"/>
    <d v="2025-02-26T00:00:00"/>
    <x v="14"/>
    <s v="N202HA"/>
    <x v="10"/>
    <d v="1899-12-30T12:25:00"/>
    <n v="320"/>
  </r>
  <r>
    <s v="HA"/>
    <d v="2025-02-26T00:00:00"/>
    <x v="15"/>
    <s v="N216HA"/>
    <x v="11"/>
    <d v="1899-12-30T14:15:00"/>
    <n v="335"/>
  </r>
  <r>
    <s v="HA"/>
    <d v="2025-02-26T00:00:00"/>
    <x v="16"/>
    <s v="N385HA"/>
    <x v="12"/>
    <d v="1899-12-30T15:30:00"/>
    <n v="570"/>
  </r>
  <r>
    <s v="HA"/>
    <d v="2025-02-26T00:00:00"/>
    <x v="17"/>
    <s v="N223HA"/>
    <x v="13"/>
    <d v="1899-12-30T13:20:00"/>
    <n v="315"/>
  </r>
  <r>
    <s v="HA"/>
    <d v="2025-02-26T00:00:00"/>
    <x v="18"/>
    <s v="N205HA"/>
    <x v="14"/>
    <d v="1899-12-30T20:05:00"/>
    <n v="370"/>
  </r>
  <r>
    <s v="HA"/>
    <d v="2025-02-26T00:00:00"/>
    <x v="19"/>
    <s v="N492HA"/>
    <x v="15"/>
    <d v="1899-12-30T05:36:00"/>
    <n v="40"/>
  </r>
  <r>
    <s v="HA"/>
    <d v="2025-02-26T00:00:00"/>
    <x v="20"/>
    <s v="N480HA"/>
    <x v="16"/>
    <d v="1899-12-30T05:36:00"/>
    <n v="39"/>
  </r>
  <r>
    <s v="HA"/>
    <d v="2025-02-26T00:00:00"/>
    <x v="21"/>
    <s v="N491HA"/>
    <x v="17"/>
    <d v="1899-12-30T05:40:00"/>
    <n v="45"/>
  </r>
  <r>
    <s v="HA"/>
    <d v="2025-02-26T00:00:00"/>
    <x v="22"/>
    <s v="N487HA"/>
    <x v="18"/>
    <d v="1899-12-30T06:05:00"/>
    <n v="55"/>
  </r>
  <r>
    <s v="HA"/>
    <d v="2025-02-26T00:00:00"/>
    <x v="23"/>
    <s v="N484HA"/>
    <x v="16"/>
    <d v="1899-12-30T06:00:00"/>
    <n v="40"/>
  </r>
  <r>
    <s v="HA"/>
    <d v="2025-02-26T00:00:00"/>
    <x v="24"/>
    <s v="N489HA"/>
    <x v="17"/>
    <d v="1899-12-30T06:30:00"/>
    <n v="46"/>
  </r>
  <r>
    <s v="HA"/>
    <d v="2025-02-26T00:00:00"/>
    <x v="25"/>
    <s v="N476HA"/>
    <x v="15"/>
    <d v="1899-12-30T06:30:00"/>
    <n v="41"/>
  </r>
  <r>
    <s v="HA"/>
    <d v="2025-02-26T00:00:00"/>
    <x v="26"/>
    <s v="N494HA"/>
    <x v="18"/>
    <d v="1899-12-30T07:12:00"/>
    <n v="54"/>
  </r>
  <r>
    <s v="HA"/>
    <d v="2025-02-26T00:00:00"/>
    <x v="27"/>
    <s v="N478HA"/>
    <x v="16"/>
    <d v="1899-12-30T06:40:00"/>
    <n v="40"/>
  </r>
  <r>
    <s v="HA"/>
    <d v="2025-02-26T00:00:00"/>
    <x v="28"/>
    <s v="N492HA"/>
    <x v="18"/>
    <d v="1899-12-30T08:22:00"/>
    <n v="55"/>
  </r>
  <r>
    <s v="HA"/>
    <d v="2025-02-26T00:00:00"/>
    <x v="29"/>
    <s v="N490HA"/>
    <x v="15"/>
    <d v="1899-12-30T07:15:00"/>
    <n v="39"/>
  </r>
  <r>
    <s v="HA"/>
    <d v="2025-02-26T00:00:00"/>
    <x v="30"/>
    <s v="N495HA"/>
    <x v="16"/>
    <d v="1899-12-30T07:21:00"/>
    <n v="41"/>
  </r>
  <r>
    <s v="HA"/>
    <d v="2025-02-26T00:00:00"/>
    <x v="31"/>
    <s v="N493HA"/>
    <x v="17"/>
    <d v="1899-12-30T07:55:00"/>
    <n v="46"/>
  </r>
  <r>
    <s v="HA"/>
    <d v="2025-02-26T00:00:00"/>
    <x v="32"/>
    <s v="N480HA"/>
    <x v="16"/>
    <d v="1899-12-30T08:00:00"/>
    <n v="42"/>
  </r>
  <r>
    <s v="HA"/>
    <d v="2025-02-26T00:00:00"/>
    <x v="33"/>
    <s v="N491HA"/>
    <x v="17"/>
    <d v="1899-12-30T08:25:00"/>
    <n v="47"/>
  </r>
  <r>
    <s v="HA"/>
    <d v="2025-02-26T00:00:00"/>
    <x v="34"/>
    <s v="N476HA"/>
    <x v="18"/>
    <d v="1899-12-30T09:00:00"/>
    <n v="55"/>
  </r>
  <r>
    <s v="HA"/>
    <d v="2025-02-26T00:00:00"/>
    <x v="35"/>
    <s v="N484HA"/>
    <x v="15"/>
    <d v="1899-12-30T09:05:00"/>
    <n v="42"/>
  </r>
  <r>
    <s v="HA"/>
    <d v="2025-02-26T00:00:00"/>
    <x v="36"/>
    <s v="N487HA"/>
    <x v="17"/>
    <d v="1899-12-30T09:00:00"/>
    <n v="47"/>
  </r>
  <r>
    <s v="HA"/>
    <d v="2025-02-26T00:00:00"/>
    <x v="37"/>
    <s v="N478HA"/>
    <x v="15"/>
    <d v="1899-12-30T09:33:00"/>
    <n v="42"/>
  </r>
  <r>
    <s v="HA"/>
    <d v="2025-02-26T00:00:00"/>
    <x v="38"/>
    <s v="N490HA"/>
    <x v="16"/>
    <d v="1899-12-30T09:50:00"/>
    <n v="41"/>
  </r>
  <r>
    <s v="HA"/>
    <d v="2025-02-26T00:00:00"/>
    <x v="39"/>
    <s v="N489HA"/>
    <x v="18"/>
    <d v="1899-12-30T10:00:00"/>
    <n v="54"/>
  </r>
  <r>
    <s v="HA"/>
    <d v="2025-02-26T00:00:00"/>
    <x v="40"/>
    <s v="N495HA"/>
    <x v="15"/>
    <d v="1899-12-30T10:40:00"/>
    <n v="41"/>
  </r>
  <r>
    <s v="HA"/>
    <d v="2025-02-26T00:00:00"/>
    <x v="41"/>
    <s v="N493HA"/>
    <x v="16"/>
    <d v="1899-12-30T10:58:00"/>
    <n v="42"/>
  </r>
  <r>
    <s v="HA"/>
    <d v="2025-02-26T00:00:00"/>
    <x v="42"/>
    <s v="N477HA"/>
    <x v="17"/>
    <d v="1899-12-30T10:30:00"/>
    <n v="47"/>
  </r>
  <r>
    <s v="HA"/>
    <d v="2025-02-26T00:00:00"/>
    <x v="43"/>
    <s v="N492HA"/>
    <x v="18"/>
    <d v="1899-12-30T11:15:00"/>
    <n v="55"/>
  </r>
  <r>
    <s v="HA"/>
    <d v="2025-02-26T00:00:00"/>
    <x v="44"/>
    <s v="N494HA"/>
    <x v="15"/>
    <d v="1899-12-30T11:10:00"/>
    <n v="44"/>
  </r>
  <r>
    <s v="HA"/>
    <d v="2025-02-26T00:00:00"/>
    <x v="45"/>
    <s v="N480HA"/>
    <x v="17"/>
    <d v="1899-12-30T11:05:00"/>
    <n v="49"/>
  </r>
  <r>
    <s v="HA"/>
    <d v="2025-02-26T00:00:00"/>
    <x v="46"/>
    <s v="N479HA"/>
    <x v="16"/>
    <d v="1899-12-30T11:35:00"/>
    <n v="44"/>
  </r>
  <r>
    <s v="HA"/>
    <d v="2025-02-26T00:00:00"/>
    <x v="47"/>
    <s v="N483HA"/>
    <x v="17"/>
    <d v="1899-12-30T11:55:00"/>
    <n v="50"/>
  </r>
  <r>
    <s v="HA"/>
    <d v="2025-02-26T00:00:00"/>
    <x v="48"/>
    <s v="N485HA"/>
    <x v="18"/>
    <d v="1899-12-30T12:15:00"/>
    <n v="56"/>
  </r>
  <r>
    <s v="HA"/>
    <d v="2025-02-26T00:00:00"/>
    <x v="49"/>
    <s v="N478HA"/>
    <x v="16"/>
    <d v="1899-12-30T12:10:00"/>
    <n v="44"/>
  </r>
  <r>
    <s v="HA"/>
    <d v="2025-02-26T00:00:00"/>
    <x v="50"/>
    <s v="N490HA"/>
    <x v="15"/>
    <d v="1899-12-30T12:33:00"/>
    <n v="44"/>
  </r>
  <r>
    <s v="HA"/>
    <d v="2025-02-26T00:00:00"/>
    <x v="51"/>
    <s v="N495HA"/>
    <x v="16"/>
    <d v="1899-12-30T13:01:00"/>
    <n v="44"/>
  </r>
  <r>
    <s v="HA"/>
    <d v="2025-02-26T00:00:00"/>
    <x v="52"/>
    <s v="N491HA"/>
    <x v="17"/>
    <d v="1899-12-30T12:55:00"/>
    <n v="48"/>
  </r>
  <r>
    <s v="HA"/>
    <d v="2025-02-26T00:00:00"/>
    <x v="53"/>
    <s v="N477HA"/>
    <x v="15"/>
    <d v="1899-12-30T13:12:00"/>
    <n v="45"/>
  </r>
  <r>
    <s v="HA"/>
    <d v="2025-02-26T00:00:00"/>
    <x v="54"/>
    <s v="N489HA"/>
    <x v="16"/>
    <d v="1899-12-30T13:25:00"/>
    <n v="44"/>
  </r>
  <r>
    <s v="HA"/>
    <d v="2025-02-26T00:00:00"/>
    <x v="55"/>
    <s v="N492HA"/>
    <x v="18"/>
    <d v="1899-12-30T14:20:00"/>
    <n v="55"/>
  </r>
  <r>
    <s v="HA"/>
    <d v="2025-02-26T00:00:00"/>
    <x v="56"/>
    <s v="N494HA"/>
    <x v="17"/>
    <d v="1899-12-30T13:45:00"/>
    <n v="48"/>
  </r>
  <r>
    <s v="HA"/>
    <d v="2025-02-26T00:00:00"/>
    <x v="57"/>
    <s v="N493HA"/>
    <x v="16"/>
    <d v="1899-12-30T14:00:00"/>
    <n v="45"/>
  </r>
  <r>
    <s v="HA"/>
    <d v="2025-02-26T00:00:00"/>
    <x v="58"/>
    <s v="N487HA"/>
    <x v="16"/>
    <d v="1899-12-30T14:25:00"/>
    <n v="45"/>
  </r>
  <r>
    <s v="HA"/>
    <d v="2025-02-26T00:00:00"/>
    <x v="59"/>
    <s v="N484HA"/>
    <x v="17"/>
    <d v="1899-12-30T14:45:00"/>
    <n v="50"/>
  </r>
  <r>
    <s v="HA"/>
    <d v="2025-02-26T00:00:00"/>
    <x v="60"/>
    <s v="N479HA"/>
    <x v="15"/>
    <d v="1899-12-30T14:35:00"/>
    <n v="43"/>
  </r>
  <r>
    <s v="HA"/>
    <d v="2025-02-26T00:00:00"/>
    <x v="61"/>
    <s v="N483HA"/>
    <x v="16"/>
    <d v="1899-12-30T15:05:00"/>
    <n v="42"/>
  </r>
  <r>
    <s v="HA"/>
    <d v="2025-02-26T00:00:00"/>
    <x v="62"/>
    <s v="N490HA"/>
    <x v="18"/>
    <d v="1899-12-30T15:15:00"/>
    <n v="53"/>
  </r>
  <r>
    <s v="HA"/>
    <d v="2025-02-26T00:00:00"/>
    <x v="63"/>
    <s v="N485HA"/>
    <x v="16"/>
    <d v="1899-12-30T15:30:00"/>
    <n v="42"/>
  </r>
  <r>
    <s v="HA"/>
    <d v="2025-02-26T00:00:00"/>
    <x v="64"/>
    <s v="N491HA"/>
    <x v="15"/>
    <d v="1899-12-30T15:45:00"/>
    <n v="43"/>
  </r>
  <r>
    <s v="HA"/>
    <d v="2025-02-26T00:00:00"/>
    <x v="65"/>
    <s v="N495HA"/>
    <x v="17"/>
    <d v="1899-12-30T15:45:00"/>
    <n v="48"/>
  </r>
  <r>
    <s v="HA"/>
    <d v="2025-02-26T00:00:00"/>
    <x v="66"/>
    <s v="N477HA"/>
    <x v="15"/>
    <d v="1899-12-30T16:25:00"/>
    <n v="42"/>
  </r>
  <r>
    <s v="HA"/>
    <d v="2025-02-26T00:00:00"/>
    <x v="67"/>
    <s v="N478HA"/>
    <x v="16"/>
    <d v="1899-12-30T16:15:00"/>
    <n v="41"/>
  </r>
  <r>
    <s v="HA"/>
    <d v="2025-02-26T00:00:00"/>
    <x v="68"/>
    <s v="N494HA"/>
    <x v="16"/>
    <d v="1899-12-30T16:50:00"/>
    <n v="41"/>
  </r>
  <r>
    <s v="HA"/>
    <d v="2025-02-26T00:00:00"/>
    <x v="69"/>
    <s v="N480HA"/>
    <x v="17"/>
    <d v="1899-12-30T16:50:00"/>
    <n v="47"/>
  </r>
  <r>
    <s v="HA"/>
    <d v="2025-02-26T00:00:00"/>
    <x v="70"/>
    <s v="N489HA"/>
    <x v="18"/>
    <d v="1899-12-30T17:20:00"/>
    <n v="53"/>
  </r>
  <r>
    <s v="HA"/>
    <d v="2025-02-26T00:00:00"/>
    <x v="71"/>
    <s v="N487HA"/>
    <x v="15"/>
    <d v="1899-12-30T17:20:00"/>
    <n v="40"/>
  </r>
  <r>
    <s v="HA"/>
    <d v="2025-02-26T00:00:00"/>
    <x v="72"/>
    <s v="N492HA"/>
    <x v="16"/>
    <d v="1899-12-30T17:20:00"/>
    <n v="40"/>
  </r>
  <r>
    <s v="HA"/>
    <d v="2025-02-26T00:00:00"/>
    <x v="73"/>
    <s v="N483HA"/>
    <x v="15"/>
    <d v="1899-12-30T17:45:00"/>
    <n v="40"/>
  </r>
  <r>
    <s v="HA"/>
    <d v="2025-02-26T00:00:00"/>
    <x v="74"/>
    <s v="N479HA"/>
    <x v="16"/>
    <d v="1899-12-30T17:40:00"/>
    <n v="40"/>
  </r>
  <r>
    <s v="HA"/>
    <d v="2025-02-26T00:00:00"/>
    <x v="75"/>
    <s v="N493HA"/>
    <x v="17"/>
    <d v="1899-12-30T17:59:00"/>
    <n v="45"/>
  </r>
  <r>
    <s v="HA"/>
    <d v="2025-02-26T00:00:00"/>
    <x v="76"/>
    <s v="N485HA"/>
    <x v="16"/>
    <d v="1899-12-30T18:10:00"/>
    <n v="40"/>
  </r>
  <r>
    <s v="HA"/>
    <d v="2025-02-26T00:00:00"/>
    <x v="77"/>
    <s v="N495HA"/>
    <x v="18"/>
    <d v="1899-12-30T18:30:00"/>
    <n v="54"/>
  </r>
  <r>
    <s v="HA"/>
    <d v="2025-02-26T00:00:00"/>
    <x v="78"/>
    <s v="N477HA"/>
    <x v="15"/>
    <d v="1899-12-30T18:49:00"/>
    <n v="41"/>
  </r>
  <r>
    <s v="HA"/>
    <d v="2025-02-26T00:00:00"/>
    <x v="79"/>
    <s v="N494HA"/>
    <x v="16"/>
    <d v="1899-12-30T19:19:00"/>
    <n v="40"/>
  </r>
  <r>
    <s v="HA"/>
    <d v="2025-02-26T00:00:00"/>
    <x v="80"/>
    <s v="N480HA"/>
    <x v="18"/>
    <d v="1899-12-30T19:35:00"/>
    <n v="53"/>
  </r>
  <r>
    <s v="HA"/>
    <d v="2025-02-26T00:00:00"/>
    <x v="81"/>
    <s v="N478HA"/>
    <x v="15"/>
    <d v="1899-12-30T20:15:00"/>
    <n v="40"/>
  </r>
  <r>
    <s v="HA"/>
    <d v="2025-02-26T00:00:00"/>
    <x v="82"/>
    <s v="N491HA"/>
    <x v="17"/>
    <d v="1899-12-30T20:10:00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3F82C-363B-7045-8666-198169FDEE3F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7">
    <pivotField showAll="0"/>
    <pivotField numFmtId="14" showAll="0"/>
    <pivotField dataField="1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showAll="0"/>
    <pivotField axis="axisRow" showAll="0">
      <items count="20">
        <item x="12"/>
        <item x="18"/>
        <item x="8"/>
        <item x="17"/>
        <item x="1"/>
        <item x="0"/>
        <item x="10"/>
        <item x="15"/>
        <item x="7"/>
        <item x="16"/>
        <item x="11"/>
        <item x="9"/>
        <item x="6"/>
        <item x="3"/>
        <item x="5"/>
        <item x="2"/>
        <item x="13"/>
        <item x="14"/>
        <item x="4"/>
        <item t="default"/>
      </items>
    </pivotField>
    <pivotField numFmtId="20" showAll="0"/>
    <pivotField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Flight Numb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3C231-AAD2-4643-95C3-10D4DF4158A5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7">
    <pivotField showAll="0"/>
    <pivotField numFmtId="14" showAll="0"/>
    <pivotField dataField="1" showAll="0"/>
    <pivotField showAll="0"/>
    <pivotField axis="axisRow" showAll="0">
      <items count="20">
        <item h="1" x="12"/>
        <item x="18"/>
        <item h="1" x="8"/>
        <item x="17"/>
        <item h="1" x="1"/>
        <item h="1" x="0"/>
        <item h="1" x="10"/>
        <item x="15"/>
        <item h="1" x="7"/>
        <item x="16"/>
        <item h="1" x="11"/>
        <item h="1" x="9"/>
        <item h="1" x="6"/>
        <item h="1" x="3"/>
        <item h="1" x="5"/>
        <item h="1" x="2"/>
        <item h="1" x="13"/>
        <item h="1" x="14"/>
        <item h="1" x="4"/>
        <item t="default"/>
      </items>
    </pivotField>
    <pivotField numFmtId="20" showAll="0"/>
    <pivotField showAll="0"/>
  </pivotFields>
  <rowFields count="1">
    <field x="4"/>
  </rowFields>
  <rowItems count="5">
    <i>
      <x v="1"/>
    </i>
    <i>
      <x v="3"/>
    </i>
    <i>
      <x v="7"/>
    </i>
    <i>
      <x v="9"/>
    </i>
    <i t="grand">
      <x/>
    </i>
  </rowItems>
  <colItems count="1">
    <i/>
  </colItems>
  <dataFields count="1">
    <dataField name="Count of Flight Numb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09AA-E419-1042-BAAA-4054C08EF7B7}">
  <dimension ref="A1:G93"/>
  <sheetViews>
    <sheetView showGridLines="0" workbookViewId="0">
      <selection activeCell="A8" sqref="A8:G91"/>
    </sheetView>
  </sheetViews>
  <sheetFormatPr baseColWidth="10" defaultRowHeight="16" x14ac:dyDescent="0.2"/>
  <cols>
    <col min="1" max="1" width="9.6640625" bestFit="1" customWidth="1"/>
    <col min="2" max="2" width="14.6640625" bestFit="1" customWidth="1"/>
    <col min="4" max="4" width="9.5" bestFit="1" customWidth="1"/>
    <col min="5" max="5" width="14.1640625" bestFit="1" customWidth="1"/>
    <col min="6" max="6" width="18.83203125" bestFit="1" customWidth="1"/>
    <col min="7" max="7" width="24.83203125" bestFit="1" customWidth="1"/>
  </cols>
  <sheetData>
    <row r="1" spans="1:7" x14ac:dyDescent="0.2">
      <c r="A1" s="1" t="s">
        <v>0</v>
      </c>
    </row>
    <row r="2" spans="1:7" x14ac:dyDescent="0.2">
      <c r="A2" s="1" t="s">
        <v>1</v>
      </c>
    </row>
    <row r="3" spans="1:7" x14ac:dyDescent="0.2">
      <c r="A3" s="1" t="s">
        <v>2</v>
      </c>
    </row>
    <row r="4" spans="1:7" x14ac:dyDescent="0.2">
      <c r="A4" s="1" t="s">
        <v>3</v>
      </c>
    </row>
    <row r="5" spans="1:7" x14ac:dyDescent="0.2">
      <c r="A5" s="1" t="s">
        <v>4</v>
      </c>
    </row>
    <row r="6" spans="1:7" x14ac:dyDescent="0.2">
      <c r="A6" s="1" t="s">
        <v>5</v>
      </c>
    </row>
    <row r="7" spans="1:7" x14ac:dyDescent="0.2">
      <c r="A7" s="1"/>
    </row>
    <row r="8" spans="1:7" x14ac:dyDescent="0.2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</row>
    <row r="9" spans="1:7" x14ac:dyDescent="0.2">
      <c r="A9" s="3" t="s">
        <v>13</v>
      </c>
      <c r="B9" s="4">
        <v>45714</v>
      </c>
      <c r="C9" s="3">
        <v>2</v>
      </c>
      <c r="D9" s="3" t="s">
        <v>14</v>
      </c>
      <c r="E9" s="3" t="s">
        <v>15</v>
      </c>
      <c r="F9" s="5">
        <v>0.57986111111111116</v>
      </c>
      <c r="G9" s="3">
        <v>315</v>
      </c>
    </row>
    <row r="10" spans="1:7" x14ac:dyDescent="0.2">
      <c r="A10" s="3" t="s">
        <v>13</v>
      </c>
      <c r="B10" s="4">
        <v>45714</v>
      </c>
      <c r="C10" s="3">
        <v>4</v>
      </c>
      <c r="D10" s="3" t="s">
        <v>16</v>
      </c>
      <c r="E10" s="3" t="s">
        <v>15</v>
      </c>
      <c r="F10" s="5">
        <v>0.90277777777777779</v>
      </c>
      <c r="G10" s="3">
        <v>320</v>
      </c>
    </row>
    <row r="11" spans="1:7" x14ac:dyDescent="0.2">
      <c r="A11" s="3" t="s">
        <v>13</v>
      </c>
      <c r="B11" s="4">
        <v>45714</v>
      </c>
      <c r="C11" s="3">
        <v>6</v>
      </c>
      <c r="D11" s="3" t="s">
        <v>17</v>
      </c>
      <c r="E11" s="3" t="s">
        <v>18</v>
      </c>
      <c r="F11" s="5">
        <v>0.33680555555555558</v>
      </c>
      <c r="G11" s="3">
        <v>345</v>
      </c>
    </row>
    <row r="12" spans="1:7" x14ac:dyDescent="0.2">
      <c r="A12" s="3" t="s">
        <v>13</v>
      </c>
      <c r="B12" s="4">
        <v>45714</v>
      </c>
      <c r="C12" s="3">
        <v>8</v>
      </c>
      <c r="D12" s="3" t="s">
        <v>19</v>
      </c>
      <c r="E12" s="3" t="s">
        <v>18</v>
      </c>
      <c r="F12" s="5">
        <v>0.96875</v>
      </c>
      <c r="G12" s="3">
        <v>340</v>
      </c>
    </row>
    <row r="13" spans="1:7" x14ac:dyDescent="0.2">
      <c r="A13" s="3" t="s">
        <v>13</v>
      </c>
      <c r="B13" s="4">
        <v>45714</v>
      </c>
      <c r="C13" s="3">
        <v>10</v>
      </c>
      <c r="D13" s="3" t="s">
        <v>19</v>
      </c>
      <c r="E13" s="3" t="s">
        <v>15</v>
      </c>
      <c r="F13" s="5">
        <v>0.3298611111111111</v>
      </c>
      <c r="G13" s="3">
        <v>325</v>
      </c>
    </row>
    <row r="14" spans="1:7" x14ac:dyDescent="0.2">
      <c r="A14" s="3" t="s">
        <v>13</v>
      </c>
      <c r="B14" s="4">
        <v>45714</v>
      </c>
      <c r="C14" s="3">
        <v>12</v>
      </c>
      <c r="D14" s="3" t="s">
        <v>20</v>
      </c>
      <c r="E14" s="3" t="s">
        <v>21</v>
      </c>
      <c r="F14" s="5">
        <v>0.52430555555555558</v>
      </c>
      <c r="G14" s="3">
        <v>310</v>
      </c>
    </row>
    <row r="15" spans="1:7" x14ac:dyDescent="0.2">
      <c r="A15" s="3" t="s">
        <v>13</v>
      </c>
      <c r="B15" s="4">
        <v>45714</v>
      </c>
      <c r="C15" s="3">
        <v>16</v>
      </c>
      <c r="D15" s="3" t="s">
        <v>22</v>
      </c>
      <c r="E15" s="3" t="s">
        <v>23</v>
      </c>
      <c r="F15" s="5">
        <v>0.51041666666666663</v>
      </c>
      <c r="G15" s="3">
        <v>320</v>
      </c>
    </row>
    <row r="16" spans="1:7" x14ac:dyDescent="0.2">
      <c r="A16" s="3" t="s">
        <v>13</v>
      </c>
      <c r="B16" s="4">
        <v>45714</v>
      </c>
      <c r="C16" s="3">
        <v>18</v>
      </c>
      <c r="D16" s="3" t="s">
        <v>24</v>
      </c>
      <c r="E16" s="3" t="s">
        <v>18</v>
      </c>
      <c r="F16" s="5">
        <v>0.65277777777777779</v>
      </c>
      <c r="G16" s="3">
        <v>345</v>
      </c>
    </row>
    <row r="17" spans="1:7" x14ac:dyDescent="0.2">
      <c r="A17" s="3" t="s">
        <v>13</v>
      </c>
      <c r="B17" s="4">
        <v>45714</v>
      </c>
      <c r="C17" s="3">
        <v>20</v>
      </c>
      <c r="D17" s="3" t="s">
        <v>25</v>
      </c>
      <c r="E17" s="3" t="s">
        <v>26</v>
      </c>
      <c r="F17" s="5">
        <v>0.58333333333333337</v>
      </c>
      <c r="G17" s="3">
        <v>320</v>
      </c>
    </row>
    <row r="18" spans="1:7" x14ac:dyDescent="0.2">
      <c r="A18" s="3" t="s">
        <v>13</v>
      </c>
      <c r="B18" s="4">
        <v>45714</v>
      </c>
      <c r="C18" s="3">
        <v>22</v>
      </c>
      <c r="D18" s="3" t="s">
        <v>27</v>
      </c>
      <c r="E18" s="3" t="s">
        <v>28</v>
      </c>
      <c r="F18" s="5">
        <v>0.56597222222222221</v>
      </c>
      <c r="G18" s="3">
        <v>345</v>
      </c>
    </row>
    <row r="19" spans="1:7" x14ac:dyDescent="0.2">
      <c r="A19" s="3" t="s">
        <v>13</v>
      </c>
      <c r="B19" s="4">
        <v>45714</v>
      </c>
      <c r="C19" s="3">
        <v>36</v>
      </c>
      <c r="D19" s="3" t="s">
        <v>29</v>
      </c>
      <c r="E19" s="3" t="s">
        <v>30</v>
      </c>
      <c r="F19" s="5">
        <v>0.625</v>
      </c>
      <c r="G19" s="3">
        <v>350</v>
      </c>
    </row>
    <row r="20" spans="1:7" x14ac:dyDescent="0.2">
      <c r="A20" s="3" t="s">
        <v>13</v>
      </c>
      <c r="B20" s="4">
        <v>45714</v>
      </c>
      <c r="C20" s="3">
        <v>48</v>
      </c>
      <c r="D20" s="3" t="s">
        <v>31</v>
      </c>
      <c r="E20" s="3" t="s">
        <v>32</v>
      </c>
      <c r="F20" s="5">
        <v>0.50694444444444442</v>
      </c>
      <c r="G20" s="3">
        <v>315</v>
      </c>
    </row>
    <row r="21" spans="1:7" x14ac:dyDescent="0.2">
      <c r="A21" s="3" t="s">
        <v>13</v>
      </c>
      <c r="B21" s="4">
        <v>45714</v>
      </c>
      <c r="C21" s="3">
        <v>50</v>
      </c>
      <c r="D21" s="3" t="s">
        <v>33</v>
      </c>
      <c r="E21" s="3" t="s">
        <v>34</v>
      </c>
      <c r="F21" s="5">
        <v>0.69791666666666663</v>
      </c>
      <c r="G21" s="3">
        <v>580</v>
      </c>
    </row>
    <row r="22" spans="1:7" x14ac:dyDescent="0.2">
      <c r="A22" s="3" t="s">
        <v>13</v>
      </c>
      <c r="B22" s="4">
        <v>45714</v>
      </c>
      <c r="C22" s="3">
        <v>52</v>
      </c>
      <c r="D22" s="3" t="s">
        <v>35</v>
      </c>
      <c r="E22" s="3" t="s">
        <v>36</v>
      </c>
      <c r="F22" s="5">
        <v>0.47916666666666669</v>
      </c>
      <c r="G22" s="3">
        <v>330</v>
      </c>
    </row>
    <row r="23" spans="1:7" x14ac:dyDescent="0.2">
      <c r="A23" s="3" t="s">
        <v>13</v>
      </c>
      <c r="B23" s="4">
        <v>45714</v>
      </c>
      <c r="C23" s="3">
        <v>70</v>
      </c>
      <c r="D23" s="3" t="s">
        <v>37</v>
      </c>
      <c r="E23" s="3" t="s">
        <v>38</v>
      </c>
      <c r="F23" s="5">
        <v>0.51736111111111116</v>
      </c>
      <c r="G23" s="3">
        <v>320</v>
      </c>
    </row>
    <row r="24" spans="1:7" x14ac:dyDescent="0.2">
      <c r="A24" s="3" t="s">
        <v>13</v>
      </c>
      <c r="B24" s="4">
        <v>45714</v>
      </c>
      <c r="C24" s="3">
        <v>80</v>
      </c>
      <c r="D24" s="3" t="s">
        <v>39</v>
      </c>
      <c r="E24" s="3" t="s">
        <v>40</v>
      </c>
      <c r="F24" s="5">
        <v>0.59375</v>
      </c>
      <c r="G24" s="3">
        <v>335</v>
      </c>
    </row>
    <row r="25" spans="1:7" x14ac:dyDescent="0.2">
      <c r="A25" s="3" t="s">
        <v>13</v>
      </c>
      <c r="B25" s="4">
        <v>45714</v>
      </c>
      <c r="C25" s="3">
        <v>90</v>
      </c>
      <c r="D25" s="3" t="s">
        <v>41</v>
      </c>
      <c r="E25" s="3" t="s">
        <v>42</v>
      </c>
      <c r="F25" s="5">
        <v>0.64583333333333337</v>
      </c>
      <c r="G25" s="3">
        <v>570</v>
      </c>
    </row>
    <row r="26" spans="1:7" x14ac:dyDescent="0.2">
      <c r="A26" s="3" t="s">
        <v>13</v>
      </c>
      <c r="B26" s="4">
        <v>45714</v>
      </c>
      <c r="C26" s="3">
        <v>92</v>
      </c>
      <c r="D26" s="3" t="s">
        <v>43</v>
      </c>
      <c r="E26" s="3" t="s">
        <v>44</v>
      </c>
      <c r="F26" s="5">
        <v>0.55555555555555558</v>
      </c>
      <c r="G26" s="3">
        <v>315</v>
      </c>
    </row>
    <row r="27" spans="1:7" x14ac:dyDescent="0.2">
      <c r="A27" s="3" t="s">
        <v>13</v>
      </c>
      <c r="B27" s="4">
        <v>45714</v>
      </c>
      <c r="C27" s="3">
        <v>96</v>
      </c>
      <c r="D27" s="3" t="s">
        <v>45</v>
      </c>
      <c r="E27" s="3" t="s">
        <v>46</v>
      </c>
      <c r="F27" s="5">
        <v>0.83680555555555558</v>
      </c>
      <c r="G27" s="3">
        <v>370</v>
      </c>
    </row>
    <row r="28" spans="1:7" x14ac:dyDescent="0.2">
      <c r="A28" s="3" t="s">
        <v>13</v>
      </c>
      <c r="B28" s="4">
        <v>45714</v>
      </c>
      <c r="C28" s="3">
        <v>113</v>
      </c>
      <c r="D28" s="3" t="s">
        <v>47</v>
      </c>
      <c r="E28" s="3" t="s">
        <v>48</v>
      </c>
      <c r="F28" s="5">
        <v>0.23333333333333334</v>
      </c>
      <c r="G28" s="3">
        <v>40</v>
      </c>
    </row>
    <row r="29" spans="1:7" x14ac:dyDescent="0.2">
      <c r="A29" s="3" t="s">
        <v>13</v>
      </c>
      <c r="B29" s="4">
        <v>45714</v>
      </c>
      <c r="C29" s="3">
        <v>116</v>
      </c>
      <c r="D29" s="3" t="s">
        <v>49</v>
      </c>
      <c r="E29" s="3" t="s">
        <v>50</v>
      </c>
      <c r="F29" s="5">
        <v>0.23333333333333334</v>
      </c>
      <c r="G29" s="3">
        <v>39</v>
      </c>
    </row>
    <row r="30" spans="1:7" x14ac:dyDescent="0.2">
      <c r="A30" s="3" t="s">
        <v>13</v>
      </c>
      <c r="B30" s="4">
        <v>45714</v>
      </c>
      <c r="C30" s="3">
        <v>118</v>
      </c>
      <c r="D30" s="3" t="s">
        <v>51</v>
      </c>
      <c r="E30" s="3" t="s">
        <v>52</v>
      </c>
      <c r="F30" s="5">
        <v>0.2361111111111111</v>
      </c>
      <c r="G30" s="3">
        <v>45</v>
      </c>
    </row>
    <row r="31" spans="1:7" x14ac:dyDescent="0.2">
      <c r="A31" s="3" t="s">
        <v>13</v>
      </c>
      <c r="B31" s="4">
        <v>45714</v>
      </c>
      <c r="C31" s="3">
        <v>122</v>
      </c>
      <c r="D31" s="3" t="s">
        <v>53</v>
      </c>
      <c r="E31" s="3" t="s">
        <v>54</v>
      </c>
      <c r="F31" s="5">
        <v>0.25347222222222221</v>
      </c>
      <c r="G31" s="3">
        <v>55</v>
      </c>
    </row>
    <row r="32" spans="1:7" x14ac:dyDescent="0.2">
      <c r="A32" s="3" t="s">
        <v>13</v>
      </c>
      <c r="B32" s="4">
        <v>45714</v>
      </c>
      <c r="C32" s="3">
        <v>126</v>
      </c>
      <c r="D32" s="3" t="s">
        <v>55</v>
      </c>
      <c r="E32" s="3" t="s">
        <v>50</v>
      </c>
      <c r="F32" s="5">
        <v>0.25</v>
      </c>
      <c r="G32" s="3">
        <v>40</v>
      </c>
    </row>
    <row r="33" spans="1:7" x14ac:dyDescent="0.2">
      <c r="A33" s="3" t="s">
        <v>13</v>
      </c>
      <c r="B33" s="4">
        <v>45714</v>
      </c>
      <c r="C33" s="3">
        <v>128</v>
      </c>
      <c r="D33" s="3" t="s">
        <v>56</v>
      </c>
      <c r="E33" s="3" t="s">
        <v>52</v>
      </c>
      <c r="F33" s="5">
        <v>0.27083333333333331</v>
      </c>
      <c r="G33" s="3">
        <v>46</v>
      </c>
    </row>
    <row r="34" spans="1:7" x14ac:dyDescent="0.2">
      <c r="A34" s="3" t="s">
        <v>13</v>
      </c>
      <c r="B34" s="4">
        <v>45714</v>
      </c>
      <c r="C34" s="3">
        <v>133</v>
      </c>
      <c r="D34" s="3" t="s">
        <v>57</v>
      </c>
      <c r="E34" s="3" t="s">
        <v>48</v>
      </c>
      <c r="F34" s="5">
        <v>0.27083333333333331</v>
      </c>
      <c r="G34" s="3">
        <v>41</v>
      </c>
    </row>
    <row r="35" spans="1:7" x14ac:dyDescent="0.2">
      <c r="A35" s="3" t="s">
        <v>13</v>
      </c>
      <c r="B35" s="4">
        <v>45714</v>
      </c>
      <c r="C35" s="3">
        <v>142</v>
      </c>
      <c r="D35" s="3" t="s">
        <v>58</v>
      </c>
      <c r="E35" s="3" t="s">
        <v>54</v>
      </c>
      <c r="F35" s="5">
        <v>0.3</v>
      </c>
      <c r="G35" s="3">
        <v>54</v>
      </c>
    </row>
    <row r="36" spans="1:7" x14ac:dyDescent="0.2">
      <c r="A36" s="3" t="s">
        <v>13</v>
      </c>
      <c r="B36" s="4">
        <v>45714</v>
      </c>
      <c r="C36" s="3">
        <v>146</v>
      </c>
      <c r="D36" s="3" t="s">
        <v>59</v>
      </c>
      <c r="E36" s="3" t="s">
        <v>50</v>
      </c>
      <c r="F36" s="5">
        <v>0.27777777777777779</v>
      </c>
      <c r="G36" s="3">
        <v>40</v>
      </c>
    </row>
    <row r="37" spans="1:7" x14ac:dyDescent="0.2">
      <c r="A37" s="3" t="s">
        <v>13</v>
      </c>
      <c r="B37" s="4">
        <v>45714</v>
      </c>
      <c r="C37" s="3">
        <v>152</v>
      </c>
      <c r="D37" s="3" t="s">
        <v>47</v>
      </c>
      <c r="E37" s="3" t="s">
        <v>54</v>
      </c>
      <c r="F37" s="5">
        <v>0.34861111111111109</v>
      </c>
      <c r="G37" s="3">
        <v>55</v>
      </c>
    </row>
    <row r="38" spans="1:7" x14ac:dyDescent="0.2">
      <c r="A38" s="3" t="s">
        <v>13</v>
      </c>
      <c r="B38" s="4">
        <v>45714</v>
      </c>
      <c r="C38" s="3">
        <v>153</v>
      </c>
      <c r="D38" s="3" t="s">
        <v>60</v>
      </c>
      <c r="E38" s="3" t="s">
        <v>48</v>
      </c>
      <c r="F38" s="5">
        <v>0.30208333333333331</v>
      </c>
      <c r="G38" s="3">
        <v>39</v>
      </c>
    </row>
    <row r="39" spans="1:7" x14ac:dyDescent="0.2">
      <c r="A39" s="3" t="s">
        <v>13</v>
      </c>
      <c r="B39" s="4">
        <v>45714</v>
      </c>
      <c r="C39" s="3">
        <v>156</v>
      </c>
      <c r="D39" s="3" t="s">
        <v>61</v>
      </c>
      <c r="E39" s="3" t="s">
        <v>50</v>
      </c>
      <c r="F39" s="5">
        <v>0.30625000000000002</v>
      </c>
      <c r="G39" s="3">
        <v>41</v>
      </c>
    </row>
    <row r="40" spans="1:7" x14ac:dyDescent="0.2">
      <c r="A40" s="3" t="s">
        <v>13</v>
      </c>
      <c r="B40" s="4">
        <v>45714</v>
      </c>
      <c r="C40" s="3">
        <v>158</v>
      </c>
      <c r="D40" s="3" t="s">
        <v>62</v>
      </c>
      <c r="E40" s="3" t="s">
        <v>52</v>
      </c>
      <c r="F40" s="5">
        <v>0.3298611111111111</v>
      </c>
      <c r="G40" s="3">
        <v>46</v>
      </c>
    </row>
    <row r="41" spans="1:7" x14ac:dyDescent="0.2">
      <c r="A41" s="3" t="s">
        <v>13</v>
      </c>
      <c r="B41" s="4">
        <v>45714</v>
      </c>
      <c r="C41" s="3">
        <v>166</v>
      </c>
      <c r="D41" s="3" t="s">
        <v>49</v>
      </c>
      <c r="E41" s="3" t="s">
        <v>50</v>
      </c>
      <c r="F41" s="5">
        <v>0.33333333333333331</v>
      </c>
      <c r="G41" s="3">
        <v>42</v>
      </c>
    </row>
    <row r="42" spans="1:7" x14ac:dyDescent="0.2">
      <c r="A42" s="3" t="s">
        <v>13</v>
      </c>
      <c r="B42" s="4">
        <v>45714</v>
      </c>
      <c r="C42" s="3">
        <v>178</v>
      </c>
      <c r="D42" s="3" t="s">
        <v>51</v>
      </c>
      <c r="E42" s="3" t="s">
        <v>52</v>
      </c>
      <c r="F42" s="5">
        <v>0.35069444444444442</v>
      </c>
      <c r="G42" s="3">
        <v>47</v>
      </c>
    </row>
    <row r="43" spans="1:7" x14ac:dyDescent="0.2">
      <c r="A43" s="3" t="s">
        <v>13</v>
      </c>
      <c r="B43" s="4">
        <v>45714</v>
      </c>
      <c r="C43" s="3">
        <v>192</v>
      </c>
      <c r="D43" s="3" t="s">
        <v>57</v>
      </c>
      <c r="E43" s="3" t="s">
        <v>54</v>
      </c>
      <c r="F43" s="5">
        <v>0.375</v>
      </c>
      <c r="G43" s="3">
        <v>55</v>
      </c>
    </row>
    <row r="44" spans="1:7" x14ac:dyDescent="0.2">
      <c r="A44" s="3" t="s">
        <v>13</v>
      </c>
      <c r="B44" s="4">
        <v>45714</v>
      </c>
      <c r="C44" s="3">
        <v>193</v>
      </c>
      <c r="D44" s="3" t="s">
        <v>55</v>
      </c>
      <c r="E44" s="3" t="s">
        <v>48</v>
      </c>
      <c r="F44" s="5">
        <v>0.37847222222222221</v>
      </c>
      <c r="G44" s="3">
        <v>42</v>
      </c>
    </row>
    <row r="45" spans="1:7" x14ac:dyDescent="0.2">
      <c r="A45" s="3" t="s">
        <v>13</v>
      </c>
      <c r="B45" s="4">
        <v>45714</v>
      </c>
      <c r="C45" s="3">
        <v>198</v>
      </c>
      <c r="D45" s="3" t="s">
        <v>53</v>
      </c>
      <c r="E45" s="3" t="s">
        <v>52</v>
      </c>
      <c r="F45" s="5">
        <v>0.375</v>
      </c>
      <c r="G45" s="3">
        <v>47</v>
      </c>
    </row>
    <row r="46" spans="1:7" x14ac:dyDescent="0.2">
      <c r="A46" s="3" t="s">
        <v>13</v>
      </c>
      <c r="B46" s="4">
        <v>45714</v>
      </c>
      <c r="C46" s="3">
        <v>203</v>
      </c>
      <c r="D46" s="3" t="s">
        <v>59</v>
      </c>
      <c r="E46" s="3" t="s">
        <v>48</v>
      </c>
      <c r="F46" s="5">
        <v>0.39791666666666664</v>
      </c>
      <c r="G46" s="3">
        <v>42</v>
      </c>
    </row>
    <row r="47" spans="1:7" x14ac:dyDescent="0.2">
      <c r="A47" s="3" t="s">
        <v>13</v>
      </c>
      <c r="B47" s="4">
        <v>45714</v>
      </c>
      <c r="C47" s="3">
        <v>216</v>
      </c>
      <c r="D47" s="3" t="s">
        <v>60</v>
      </c>
      <c r="E47" s="3" t="s">
        <v>50</v>
      </c>
      <c r="F47" s="5">
        <v>0.40972222222222221</v>
      </c>
      <c r="G47" s="3">
        <v>41</v>
      </c>
    </row>
    <row r="48" spans="1:7" x14ac:dyDescent="0.2">
      <c r="A48" s="3" t="s">
        <v>13</v>
      </c>
      <c r="B48" s="4">
        <v>45714</v>
      </c>
      <c r="C48" s="3">
        <v>232</v>
      </c>
      <c r="D48" s="3" t="s">
        <v>56</v>
      </c>
      <c r="E48" s="3" t="s">
        <v>54</v>
      </c>
      <c r="F48" s="5">
        <v>0.41666666666666669</v>
      </c>
      <c r="G48" s="3">
        <v>54</v>
      </c>
    </row>
    <row r="49" spans="1:7" x14ac:dyDescent="0.2">
      <c r="A49" s="3" t="s">
        <v>13</v>
      </c>
      <c r="B49" s="4">
        <v>45714</v>
      </c>
      <c r="C49" s="3">
        <v>233</v>
      </c>
      <c r="D49" s="3" t="s">
        <v>61</v>
      </c>
      <c r="E49" s="3" t="s">
        <v>48</v>
      </c>
      <c r="F49" s="5">
        <v>0.44444444444444442</v>
      </c>
      <c r="G49" s="3">
        <v>41</v>
      </c>
    </row>
    <row r="50" spans="1:7" x14ac:dyDescent="0.2">
      <c r="A50" s="3" t="s">
        <v>13</v>
      </c>
      <c r="B50" s="4">
        <v>45714</v>
      </c>
      <c r="C50" s="3">
        <v>236</v>
      </c>
      <c r="D50" s="3" t="s">
        <v>62</v>
      </c>
      <c r="E50" s="3" t="s">
        <v>50</v>
      </c>
      <c r="F50" s="5">
        <v>0.45694444444444443</v>
      </c>
      <c r="G50" s="3">
        <v>42</v>
      </c>
    </row>
    <row r="51" spans="1:7" x14ac:dyDescent="0.2">
      <c r="A51" s="3" t="s">
        <v>13</v>
      </c>
      <c r="B51" s="4">
        <v>45714</v>
      </c>
      <c r="C51" s="3">
        <v>238</v>
      </c>
      <c r="D51" s="3" t="s">
        <v>63</v>
      </c>
      <c r="E51" s="3" t="s">
        <v>52</v>
      </c>
      <c r="F51" s="5">
        <v>0.4375</v>
      </c>
      <c r="G51" s="3">
        <v>47</v>
      </c>
    </row>
    <row r="52" spans="1:7" x14ac:dyDescent="0.2">
      <c r="A52" s="3" t="s">
        <v>13</v>
      </c>
      <c r="B52" s="4">
        <v>45714</v>
      </c>
      <c r="C52" s="3">
        <v>242</v>
      </c>
      <c r="D52" s="3" t="s">
        <v>47</v>
      </c>
      <c r="E52" s="3" t="s">
        <v>54</v>
      </c>
      <c r="F52" s="5">
        <v>0.46875</v>
      </c>
      <c r="G52" s="3">
        <v>55</v>
      </c>
    </row>
    <row r="53" spans="1:7" x14ac:dyDescent="0.2">
      <c r="A53" s="3" t="s">
        <v>13</v>
      </c>
      <c r="B53" s="4">
        <v>45714</v>
      </c>
      <c r="C53" s="3">
        <v>253</v>
      </c>
      <c r="D53" s="3" t="s">
        <v>58</v>
      </c>
      <c r="E53" s="3" t="s">
        <v>48</v>
      </c>
      <c r="F53" s="5">
        <v>0.46527777777777779</v>
      </c>
      <c r="G53" s="3">
        <v>44</v>
      </c>
    </row>
    <row r="54" spans="1:7" x14ac:dyDescent="0.2">
      <c r="A54" s="3" t="s">
        <v>13</v>
      </c>
      <c r="B54" s="4">
        <v>45714</v>
      </c>
      <c r="C54" s="3">
        <v>258</v>
      </c>
      <c r="D54" s="3" t="s">
        <v>49</v>
      </c>
      <c r="E54" s="3" t="s">
        <v>52</v>
      </c>
      <c r="F54" s="5">
        <v>0.46180555555555558</v>
      </c>
      <c r="G54" s="3">
        <v>49</v>
      </c>
    </row>
    <row r="55" spans="1:7" x14ac:dyDescent="0.2">
      <c r="A55" s="3" t="s">
        <v>13</v>
      </c>
      <c r="B55" s="4">
        <v>45714</v>
      </c>
      <c r="C55" s="3">
        <v>266</v>
      </c>
      <c r="D55" s="3" t="s">
        <v>64</v>
      </c>
      <c r="E55" s="3" t="s">
        <v>50</v>
      </c>
      <c r="F55" s="5">
        <v>0.4826388888888889</v>
      </c>
      <c r="G55" s="3">
        <v>44</v>
      </c>
    </row>
    <row r="56" spans="1:7" x14ac:dyDescent="0.2">
      <c r="A56" s="3" t="s">
        <v>13</v>
      </c>
      <c r="B56" s="4">
        <v>45714</v>
      </c>
      <c r="C56" s="3">
        <v>268</v>
      </c>
      <c r="D56" s="3" t="s">
        <v>65</v>
      </c>
      <c r="E56" s="3" t="s">
        <v>52</v>
      </c>
      <c r="F56" s="5">
        <v>0.49652777777777779</v>
      </c>
      <c r="G56" s="3">
        <v>50</v>
      </c>
    </row>
    <row r="57" spans="1:7" x14ac:dyDescent="0.2">
      <c r="A57" s="3" t="s">
        <v>13</v>
      </c>
      <c r="B57" s="4">
        <v>45714</v>
      </c>
      <c r="C57" s="3">
        <v>272</v>
      </c>
      <c r="D57" s="3" t="s">
        <v>66</v>
      </c>
      <c r="E57" s="3" t="s">
        <v>54</v>
      </c>
      <c r="F57" s="5">
        <v>0.51041666666666663</v>
      </c>
      <c r="G57" s="3">
        <v>56</v>
      </c>
    </row>
    <row r="58" spans="1:7" x14ac:dyDescent="0.2">
      <c r="A58" s="3" t="s">
        <v>13</v>
      </c>
      <c r="B58" s="4">
        <v>45714</v>
      </c>
      <c r="C58" s="3">
        <v>276</v>
      </c>
      <c r="D58" s="3" t="s">
        <v>59</v>
      </c>
      <c r="E58" s="3" t="s">
        <v>50</v>
      </c>
      <c r="F58" s="5">
        <v>0.50694444444444442</v>
      </c>
      <c r="G58" s="3">
        <v>44</v>
      </c>
    </row>
    <row r="59" spans="1:7" x14ac:dyDescent="0.2">
      <c r="A59" s="3" t="s">
        <v>13</v>
      </c>
      <c r="B59" s="4">
        <v>45714</v>
      </c>
      <c r="C59" s="3">
        <v>283</v>
      </c>
      <c r="D59" s="3" t="s">
        <v>60</v>
      </c>
      <c r="E59" s="3" t="s">
        <v>48</v>
      </c>
      <c r="F59" s="5">
        <v>0.5229166666666667</v>
      </c>
      <c r="G59" s="3">
        <v>44</v>
      </c>
    </row>
    <row r="60" spans="1:7" x14ac:dyDescent="0.2">
      <c r="A60" s="3" t="s">
        <v>13</v>
      </c>
      <c r="B60" s="4">
        <v>45714</v>
      </c>
      <c r="C60" s="3">
        <v>286</v>
      </c>
      <c r="D60" s="3" t="s">
        <v>61</v>
      </c>
      <c r="E60" s="3" t="s">
        <v>50</v>
      </c>
      <c r="F60" s="5">
        <v>0.54236111111111107</v>
      </c>
      <c r="G60" s="3">
        <v>44</v>
      </c>
    </row>
    <row r="61" spans="1:7" x14ac:dyDescent="0.2">
      <c r="A61" s="3" t="s">
        <v>13</v>
      </c>
      <c r="B61" s="4">
        <v>45714</v>
      </c>
      <c r="C61" s="3">
        <v>298</v>
      </c>
      <c r="D61" s="3" t="s">
        <v>51</v>
      </c>
      <c r="E61" s="3" t="s">
        <v>52</v>
      </c>
      <c r="F61" s="5">
        <v>0.53819444444444442</v>
      </c>
      <c r="G61" s="3">
        <v>48</v>
      </c>
    </row>
    <row r="62" spans="1:7" x14ac:dyDescent="0.2">
      <c r="A62" s="3" t="s">
        <v>13</v>
      </c>
      <c r="B62" s="4">
        <v>45714</v>
      </c>
      <c r="C62" s="3">
        <v>303</v>
      </c>
      <c r="D62" s="3" t="s">
        <v>63</v>
      </c>
      <c r="E62" s="3" t="s">
        <v>48</v>
      </c>
      <c r="F62" s="5">
        <v>0.55000000000000004</v>
      </c>
      <c r="G62" s="3">
        <v>45</v>
      </c>
    </row>
    <row r="63" spans="1:7" x14ac:dyDescent="0.2">
      <c r="A63" s="3" t="s">
        <v>13</v>
      </c>
      <c r="B63" s="4">
        <v>45714</v>
      </c>
      <c r="C63" s="3">
        <v>306</v>
      </c>
      <c r="D63" s="3" t="s">
        <v>56</v>
      </c>
      <c r="E63" s="3" t="s">
        <v>50</v>
      </c>
      <c r="F63" s="5">
        <v>0.55902777777777779</v>
      </c>
      <c r="G63" s="3">
        <v>44</v>
      </c>
    </row>
    <row r="64" spans="1:7" x14ac:dyDescent="0.2">
      <c r="A64" s="3" t="s">
        <v>13</v>
      </c>
      <c r="B64" s="4">
        <v>45714</v>
      </c>
      <c r="C64" s="3">
        <v>312</v>
      </c>
      <c r="D64" s="3" t="s">
        <v>47</v>
      </c>
      <c r="E64" s="3" t="s">
        <v>54</v>
      </c>
      <c r="F64" s="5">
        <v>0.59722222222222221</v>
      </c>
      <c r="G64" s="3">
        <v>55</v>
      </c>
    </row>
    <row r="65" spans="1:7" x14ac:dyDescent="0.2">
      <c r="A65" s="3" t="s">
        <v>13</v>
      </c>
      <c r="B65" s="4">
        <v>45714</v>
      </c>
      <c r="C65" s="3">
        <v>318</v>
      </c>
      <c r="D65" s="3" t="s">
        <v>58</v>
      </c>
      <c r="E65" s="3" t="s">
        <v>52</v>
      </c>
      <c r="F65" s="5">
        <v>0.57291666666666663</v>
      </c>
      <c r="G65" s="3">
        <v>48</v>
      </c>
    </row>
    <row r="66" spans="1:7" x14ac:dyDescent="0.2">
      <c r="A66" s="3" t="s">
        <v>13</v>
      </c>
      <c r="B66" s="4">
        <v>45714</v>
      </c>
      <c r="C66" s="3">
        <v>326</v>
      </c>
      <c r="D66" s="3" t="s">
        <v>62</v>
      </c>
      <c r="E66" s="3" t="s">
        <v>50</v>
      </c>
      <c r="F66" s="5">
        <v>0.58333333333333337</v>
      </c>
      <c r="G66" s="3">
        <v>45</v>
      </c>
    </row>
    <row r="67" spans="1:7" x14ac:dyDescent="0.2">
      <c r="A67" s="3" t="s">
        <v>13</v>
      </c>
      <c r="B67" s="4">
        <v>45714</v>
      </c>
      <c r="C67" s="3">
        <v>336</v>
      </c>
      <c r="D67" s="3" t="s">
        <v>53</v>
      </c>
      <c r="E67" s="3" t="s">
        <v>50</v>
      </c>
      <c r="F67" s="5">
        <v>0.60069444444444442</v>
      </c>
      <c r="G67" s="3">
        <v>45</v>
      </c>
    </row>
    <row r="68" spans="1:7" x14ac:dyDescent="0.2">
      <c r="A68" s="3" t="s">
        <v>13</v>
      </c>
      <c r="B68" s="4">
        <v>45714</v>
      </c>
      <c r="C68" s="3">
        <v>338</v>
      </c>
      <c r="D68" s="3" t="s">
        <v>55</v>
      </c>
      <c r="E68" s="3" t="s">
        <v>52</v>
      </c>
      <c r="F68" s="5">
        <v>0.61458333333333337</v>
      </c>
      <c r="G68" s="3">
        <v>50</v>
      </c>
    </row>
    <row r="69" spans="1:7" x14ac:dyDescent="0.2">
      <c r="A69" s="3" t="s">
        <v>13</v>
      </c>
      <c r="B69" s="4">
        <v>45714</v>
      </c>
      <c r="C69" s="3">
        <v>343</v>
      </c>
      <c r="D69" s="3" t="s">
        <v>64</v>
      </c>
      <c r="E69" s="3" t="s">
        <v>48</v>
      </c>
      <c r="F69" s="5">
        <v>0.60763888888888884</v>
      </c>
      <c r="G69" s="3">
        <v>43</v>
      </c>
    </row>
    <row r="70" spans="1:7" x14ac:dyDescent="0.2">
      <c r="A70" s="3" t="s">
        <v>13</v>
      </c>
      <c r="B70" s="4">
        <v>45714</v>
      </c>
      <c r="C70" s="3">
        <v>346</v>
      </c>
      <c r="D70" s="3" t="s">
        <v>65</v>
      </c>
      <c r="E70" s="3" t="s">
        <v>50</v>
      </c>
      <c r="F70" s="5">
        <v>0.62847222222222221</v>
      </c>
      <c r="G70" s="3">
        <v>42</v>
      </c>
    </row>
    <row r="71" spans="1:7" x14ac:dyDescent="0.2">
      <c r="A71" s="3" t="s">
        <v>13</v>
      </c>
      <c r="B71" s="4">
        <v>45714</v>
      </c>
      <c r="C71" s="3">
        <v>352</v>
      </c>
      <c r="D71" s="3" t="s">
        <v>60</v>
      </c>
      <c r="E71" s="3" t="s">
        <v>54</v>
      </c>
      <c r="F71" s="5">
        <v>0.63541666666666663</v>
      </c>
      <c r="G71" s="3">
        <v>53</v>
      </c>
    </row>
    <row r="72" spans="1:7" x14ac:dyDescent="0.2">
      <c r="A72" s="3" t="s">
        <v>13</v>
      </c>
      <c r="B72" s="4">
        <v>45714</v>
      </c>
      <c r="C72" s="3">
        <v>356</v>
      </c>
      <c r="D72" s="3" t="s">
        <v>66</v>
      </c>
      <c r="E72" s="3" t="s">
        <v>50</v>
      </c>
      <c r="F72" s="5">
        <v>0.64583333333333337</v>
      </c>
      <c r="G72" s="3">
        <v>42</v>
      </c>
    </row>
    <row r="73" spans="1:7" x14ac:dyDescent="0.2">
      <c r="A73" s="3" t="s">
        <v>13</v>
      </c>
      <c r="B73" s="4">
        <v>45714</v>
      </c>
      <c r="C73" s="3">
        <v>363</v>
      </c>
      <c r="D73" s="3" t="s">
        <v>51</v>
      </c>
      <c r="E73" s="3" t="s">
        <v>48</v>
      </c>
      <c r="F73" s="5">
        <v>0.65625</v>
      </c>
      <c r="G73" s="3">
        <v>43</v>
      </c>
    </row>
    <row r="74" spans="1:7" x14ac:dyDescent="0.2">
      <c r="A74" s="3" t="s">
        <v>13</v>
      </c>
      <c r="B74" s="4">
        <v>45714</v>
      </c>
      <c r="C74" s="3">
        <v>368</v>
      </c>
      <c r="D74" s="3" t="s">
        <v>61</v>
      </c>
      <c r="E74" s="3" t="s">
        <v>52</v>
      </c>
      <c r="F74" s="5">
        <v>0.65625</v>
      </c>
      <c r="G74" s="3">
        <v>48</v>
      </c>
    </row>
    <row r="75" spans="1:7" x14ac:dyDescent="0.2">
      <c r="A75" s="3" t="s">
        <v>13</v>
      </c>
      <c r="B75" s="4">
        <v>45714</v>
      </c>
      <c r="C75" s="3">
        <v>373</v>
      </c>
      <c r="D75" s="3" t="s">
        <v>63</v>
      </c>
      <c r="E75" s="3" t="s">
        <v>48</v>
      </c>
      <c r="F75" s="5">
        <v>0.68402777777777779</v>
      </c>
      <c r="G75" s="3">
        <v>42</v>
      </c>
    </row>
    <row r="76" spans="1:7" x14ac:dyDescent="0.2">
      <c r="A76" s="3" t="s">
        <v>13</v>
      </c>
      <c r="B76" s="4">
        <v>45714</v>
      </c>
      <c r="C76" s="3">
        <v>376</v>
      </c>
      <c r="D76" s="3" t="s">
        <v>59</v>
      </c>
      <c r="E76" s="3" t="s">
        <v>50</v>
      </c>
      <c r="F76" s="5">
        <v>0.67708333333333337</v>
      </c>
      <c r="G76" s="3">
        <v>41</v>
      </c>
    </row>
    <row r="77" spans="1:7" x14ac:dyDescent="0.2">
      <c r="A77" s="3" t="s">
        <v>13</v>
      </c>
      <c r="B77" s="4">
        <v>45714</v>
      </c>
      <c r="C77" s="3">
        <v>386</v>
      </c>
      <c r="D77" s="3" t="s">
        <v>58</v>
      </c>
      <c r="E77" s="3" t="s">
        <v>50</v>
      </c>
      <c r="F77" s="5">
        <v>0.70138888888888884</v>
      </c>
      <c r="G77" s="3">
        <v>41</v>
      </c>
    </row>
    <row r="78" spans="1:7" x14ac:dyDescent="0.2">
      <c r="A78" s="3" t="s">
        <v>13</v>
      </c>
      <c r="B78" s="4">
        <v>45714</v>
      </c>
      <c r="C78" s="3">
        <v>388</v>
      </c>
      <c r="D78" s="3" t="s">
        <v>49</v>
      </c>
      <c r="E78" s="3" t="s">
        <v>52</v>
      </c>
      <c r="F78" s="5">
        <v>0.70138888888888884</v>
      </c>
      <c r="G78" s="3">
        <v>47</v>
      </c>
    </row>
    <row r="79" spans="1:7" x14ac:dyDescent="0.2">
      <c r="A79" s="3" t="s">
        <v>13</v>
      </c>
      <c r="B79" s="4">
        <v>45714</v>
      </c>
      <c r="C79" s="3">
        <v>392</v>
      </c>
      <c r="D79" s="3" t="s">
        <v>56</v>
      </c>
      <c r="E79" s="3" t="s">
        <v>54</v>
      </c>
      <c r="F79" s="5">
        <v>0.72222222222222221</v>
      </c>
      <c r="G79" s="3">
        <v>53</v>
      </c>
    </row>
    <row r="80" spans="1:7" x14ac:dyDescent="0.2">
      <c r="A80" s="3" t="s">
        <v>13</v>
      </c>
      <c r="B80" s="4">
        <v>45714</v>
      </c>
      <c r="C80" s="3">
        <v>393</v>
      </c>
      <c r="D80" s="3" t="s">
        <v>53</v>
      </c>
      <c r="E80" s="3" t="s">
        <v>48</v>
      </c>
      <c r="F80" s="5">
        <v>0.72222222222222221</v>
      </c>
      <c r="G80" s="3">
        <v>40</v>
      </c>
    </row>
    <row r="81" spans="1:7" x14ac:dyDescent="0.2">
      <c r="A81" s="3" t="s">
        <v>13</v>
      </c>
      <c r="B81" s="4">
        <v>45714</v>
      </c>
      <c r="C81" s="3">
        <v>396</v>
      </c>
      <c r="D81" s="3" t="s">
        <v>47</v>
      </c>
      <c r="E81" s="3" t="s">
        <v>50</v>
      </c>
      <c r="F81" s="5">
        <v>0.72222222222222221</v>
      </c>
      <c r="G81" s="3">
        <v>40</v>
      </c>
    </row>
    <row r="82" spans="1:7" x14ac:dyDescent="0.2">
      <c r="A82" s="3" t="s">
        <v>13</v>
      </c>
      <c r="B82" s="4">
        <v>45714</v>
      </c>
      <c r="C82" s="3">
        <v>503</v>
      </c>
      <c r="D82" s="3" t="s">
        <v>65</v>
      </c>
      <c r="E82" s="3" t="s">
        <v>48</v>
      </c>
      <c r="F82" s="5">
        <v>0.73958333333333337</v>
      </c>
      <c r="G82" s="3">
        <v>40</v>
      </c>
    </row>
    <row r="83" spans="1:7" x14ac:dyDescent="0.2">
      <c r="A83" s="3" t="s">
        <v>13</v>
      </c>
      <c r="B83" s="4">
        <v>45714</v>
      </c>
      <c r="C83" s="3">
        <v>506</v>
      </c>
      <c r="D83" s="3" t="s">
        <v>64</v>
      </c>
      <c r="E83" s="3" t="s">
        <v>50</v>
      </c>
      <c r="F83" s="5">
        <v>0.73611111111111116</v>
      </c>
      <c r="G83" s="3">
        <v>40</v>
      </c>
    </row>
    <row r="84" spans="1:7" x14ac:dyDescent="0.2">
      <c r="A84" s="3" t="s">
        <v>13</v>
      </c>
      <c r="B84" s="4">
        <v>45714</v>
      </c>
      <c r="C84" s="3">
        <v>508</v>
      </c>
      <c r="D84" s="3" t="s">
        <v>62</v>
      </c>
      <c r="E84" s="3" t="s">
        <v>52</v>
      </c>
      <c r="F84" s="5">
        <v>0.74930555555555556</v>
      </c>
      <c r="G84" s="3">
        <v>45</v>
      </c>
    </row>
    <row r="85" spans="1:7" x14ac:dyDescent="0.2">
      <c r="A85" s="3" t="s">
        <v>13</v>
      </c>
      <c r="B85" s="4">
        <v>45714</v>
      </c>
      <c r="C85" s="3">
        <v>516</v>
      </c>
      <c r="D85" s="3" t="s">
        <v>66</v>
      </c>
      <c r="E85" s="3" t="s">
        <v>50</v>
      </c>
      <c r="F85" s="5">
        <v>0.75694444444444442</v>
      </c>
      <c r="G85" s="3">
        <v>40</v>
      </c>
    </row>
    <row r="86" spans="1:7" x14ac:dyDescent="0.2">
      <c r="A86" s="3" t="s">
        <v>13</v>
      </c>
      <c r="B86" s="4">
        <v>45714</v>
      </c>
      <c r="C86" s="3">
        <v>532</v>
      </c>
      <c r="D86" s="3" t="s">
        <v>61</v>
      </c>
      <c r="E86" s="3" t="s">
        <v>54</v>
      </c>
      <c r="F86" s="5">
        <v>0.77083333333333337</v>
      </c>
      <c r="G86" s="3">
        <v>54</v>
      </c>
    </row>
    <row r="87" spans="1:7" x14ac:dyDescent="0.2">
      <c r="A87" s="3" t="s">
        <v>13</v>
      </c>
      <c r="B87" s="4">
        <v>45714</v>
      </c>
      <c r="C87" s="3">
        <v>533</v>
      </c>
      <c r="D87" s="3" t="s">
        <v>63</v>
      </c>
      <c r="E87" s="3" t="s">
        <v>48</v>
      </c>
      <c r="F87" s="5">
        <v>0.78402777777777777</v>
      </c>
      <c r="G87" s="3">
        <v>41</v>
      </c>
    </row>
    <row r="88" spans="1:7" x14ac:dyDescent="0.2">
      <c r="A88" s="3" t="s">
        <v>13</v>
      </c>
      <c r="B88" s="4">
        <v>45714</v>
      </c>
      <c r="C88" s="3">
        <v>546</v>
      </c>
      <c r="D88" s="3" t="s">
        <v>58</v>
      </c>
      <c r="E88" s="3" t="s">
        <v>50</v>
      </c>
      <c r="F88" s="5">
        <v>0.80486111111111114</v>
      </c>
      <c r="G88" s="3">
        <v>40</v>
      </c>
    </row>
    <row r="89" spans="1:7" x14ac:dyDescent="0.2">
      <c r="A89" s="3" t="s">
        <v>13</v>
      </c>
      <c r="B89" s="4">
        <v>45714</v>
      </c>
      <c r="C89" s="3">
        <v>552</v>
      </c>
      <c r="D89" s="3" t="s">
        <v>49</v>
      </c>
      <c r="E89" s="3" t="s">
        <v>54</v>
      </c>
      <c r="F89" s="5">
        <v>0.81597222222222221</v>
      </c>
      <c r="G89" s="3">
        <v>53</v>
      </c>
    </row>
    <row r="90" spans="1:7" x14ac:dyDescent="0.2">
      <c r="A90" s="3" t="s">
        <v>13</v>
      </c>
      <c r="B90" s="4">
        <v>45714</v>
      </c>
      <c r="C90" s="3">
        <v>563</v>
      </c>
      <c r="D90" s="3" t="s">
        <v>59</v>
      </c>
      <c r="E90" s="3" t="s">
        <v>48</v>
      </c>
      <c r="F90" s="5">
        <v>0.84375</v>
      </c>
      <c r="G90" s="3">
        <v>40</v>
      </c>
    </row>
    <row r="91" spans="1:7" x14ac:dyDescent="0.2">
      <c r="A91" s="3" t="s">
        <v>13</v>
      </c>
      <c r="B91" s="4">
        <v>45714</v>
      </c>
      <c r="C91" s="3">
        <v>568</v>
      </c>
      <c r="D91" s="3" t="s">
        <v>51</v>
      </c>
      <c r="E91" s="3" t="s">
        <v>52</v>
      </c>
      <c r="F91" s="5">
        <v>0.84027777777777779</v>
      </c>
      <c r="G91" s="3">
        <v>45</v>
      </c>
    </row>
    <row r="92" spans="1:7" x14ac:dyDescent="0.2">
      <c r="A92" s="1"/>
    </row>
    <row r="93" spans="1:7" x14ac:dyDescent="0.2">
      <c r="A93" s="1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5612-9468-B745-A57B-A7BB1C85E3DE}">
  <dimension ref="A3:B23"/>
  <sheetViews>
    <sheetView workbookViewId="0">
      <selection activeCell="B5" sqref="B5"/>
    </sheetView>
  </sheetViews>
  <sheetFormatPr baseColWidth="10" defaultRowHeight="16" x14ac:dyDescent="0.2"/>
  <cols>
    <col min="1" max="1" width="13" bestFit="1" customWidth="1"/>
    <col min="2" max="2" width="20.33203125" bestFit="1" customWidth="1"/>
  </cols>
  <sheetData>
    <row r="3" spans="1:2" x14ac:dyDescent="0.2">
      <c r="A3" s="12" t="s">
        <v>68</v>
      </c>
      <c r="B3" t="s">
        <v>70</v>
      </c>
    </row>
    <row r="4" spans="1:2" x14ac:dyDescent="0.2">
      <c r="A4" s="13" t="s">
        <v>42</v>
      </c>
      <c r="B4">
        <v>1</v>
      </c>
    </row>
    <row r="5" spans="1:2" x14ac:dyDescent="0.2">
      <c r="A5" s="13" t="s">
        <v>54</v>
      </c>
      <c r="B5">
        <v>12</v>
      </c>
    </row>
    <row r="6" spans="1:2" x14ac:dyDescent="0.2">
      <c r="A6" s="13" t="s">
        <v>34</v>
      </c>
      <c r="B6">
        <v>1</v>
      </c>
    </row>
    <row r="7" spans="1:2" x14ac:dyDescent="0.2">
      <c r="A7" s="13" t="s">
        <v>52</v>
      </c>
      <c r="B7">
        <v>15</v>
      </c>
    </row>
    <row r="8" spans="1:2" x14ac:dyDescent="0.2">
      <c r="A8" s="13" t="s">
        <v>18</v>
      </c>
      <c r="B8">
        <v>3</v>
      </c>
    </row>
    <row r="9" spans="1:2" x14ac:dyDescent="0.2">
      <c r="A9" s="13" t="s">
        <v>15</v>
      </c>
      <c r="B9">
        <v>3</v>
      </c>
    </row>
    <row r="10" spans="1:2" x14ac:dyDescent="0.2">
      <c r="A10" s="13" t="s">
        <v>38</v>
      </c>
      <c r="B10">
        <v>1</v>
      </c>
    </row>
    <row r="11" spans="1:2" x14ac:dyDescent="0.2">
      <c r="A11" s="13" t="s">
        <v>48</v>
      </c>
      <c r="B11">
        <v>16</v>
      </c>
    </row>
    <row r="12" spans="1:2" x14ac:dyDescent="0.2">
      <c r="A12" s="13" t="s">
        <v>32</v>
      </c>
      <c r="B12">
        <v>1</v>
      </c>
    </row>
    <row r="13" spans="1:2" x14ac:dyDescent="0.2">
      <c r="A13" s="13" t="s">
        <v>50</v>
      </c>
      <c r="B13">
        <v>21</v>
      </c>
    </row>
    <row r="14" spans="1:2" x14ac:dyDescent="0.2">
      <c r="A14" s="13" t="s">
        <v>40</v>
      </c>
      <c r="B14">
        <v>1</v>
      </c>
    </row>
    <row r="15" spans="1:2" x14ac:dyDescent="0.2">
      <c r="A15" s="13" t="s">
        <v>36</v>
      </c>
      <c r="B15">
        <v>1</v>
      </c>
    </row>
    <row r="16" spans="1:2" x14ac:dyDescent="0.2">
      <c r="A16" s="13" t="s">
        <v>30</v>
      </c>
      <c r="B16">
        <v>1</v>
      </c>
    </row>
    <row r="17" spans="1:2" x14ac:dyDescent="0.2">
      <c r="A17" s="13" t="s">
        <v>23</v>
      </c>
      <c r="B17">
        <v>1</v>
      </c>
    </row>
    <row r="18" spans="1:2" x14ac:dyDescent="0.2">
      <c r="A18" s="13" t="s">
        <v>28</v>
      </c>
      <c r="B18">
        <v>1</v>
      </c>
    </row>
    <row r="19" spans="1:2" x14ac:dyDescent="0.2">
      <c r="A19" s="13" t="s">
        <v>21</v>
      </c>
      <c r="B19">
        <v>1</v>
      </c>
    </row>
    <row r="20" spans="1:2" x14ac:dyDescent="0.2">
      <c r="A20" s="13" t="s">
        <v>44</v>
      </c>
      <c r="B20">
        <v>1</v>
      </c>
    </row>
    <row r="21" spans="1:2" x14ac:dyDescent="0.2">
      <c r="A21" s="13" t="s">
        <v>46</v>
      </c>
      <c r="B21">
        <v>1</v>
      </c>
    </row>
    <row r="22" spans="1:2" x14ac:dyDescent="0.2">
      <c r="A22" s="13" t="s">
        <v>26</v>
      </c>
      <c r="B22">
        <v>1</v>
      </c>
    </row>
    <row r="23" spans="1:2" x14ac:dyDescent="0.2">
      <c r="A23" s="13" t="s">
        <v>69</v>
      </c>
      <c r="B23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95C6-F3FC-304F-8644-9A23EBE14E6C}">
  <dimension ref="A1:G65"/>
  <sheetViews>
    <sheetView workbookViewId="0">
      <selection activeCell="K74" sqref="K74"/>
    </sheetView>
  </sheetViews>
  <sheetFormatPr baseColWidth="10" defaultRowHeight="16" x14ac:dyDescent="0.2"/>
  <sheetData>
    <row r="1" spans="1:7" ht="45" x14ac:dyDescent="0.2">
      <c r="A1" s="6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</row>
    <row r="2" spans="1:7" x14ac:dyDescent="0.2">
      <c r="A2" s="8" t="s">
        <v>13</v>
      </c>
      <c r="B2" s="9">
        <v>45714</v>
      </c>
      <c r="C2" s="10">
        <v>113</v>
      </c>
      <c r="D2" s="10" t="s">
        <v>47</v>
      </c>
      <c r="E2" s="10" t="s">
        <v>48</v>
      </c>
      <c r="F2" s="11">
        <v>0.23333333333333334</v>
      </c>
      <c r="G2" s="10">
        <v>40</v>
      </c>
    </row>
    <row r="3" spans="1:7" x14ac:dyDescent="0.2">
      <c r="A3" s="8" t="s">
        <v>13</v>
      </c>
      <c r="B3" s="9">
        <v>45714</v>
      </c>
      <c r="C3" s="10">
        <v>116</v>
      </c>
      <c r="D3" s="10" t="s">
        <v>49</v>
      </c>
      <c r="E3" s="10" t="s">
        <v>50</v>
      </c>
      <c r="F3" s="11">
        <v>0.23333333333333334</v>
      </c>
      <c r="G3" s="10">
        <v>39</v>
      </c>
    </row>
    <row r="4" spans="1:7" x14ac:dyDescent="0.2">
      <c r="A4" s="8" t="s">
        <v>13</v>
      </c>
      <c r="B4" s="9">
        <v>45714</v>
      </c>
      <c r="C4" s="10">
        <v>118</v>
      </c>
      <c r="D4" s="10" t="s">
        <v>51</v>
      </c>
      <c r="E4" s="10" t="s">
        <v>52</v>
      </c>
      <c r="F4" s="11">
        <v>0.2361111111111111</v>
      </c>
      <c r="G4" s="10">
        <v>45</v>
      </c>
    </row>
    <row r="5" spans="1:7" x14ac:dyDescent="0.2">
      <c r="A5" s="8" t="s">
        <v>13</v>
      </c>
      <c r="B5" s="9">
        <v>45714</v>
      </c>
      <c r="C5" s="10">
        <v>122</v>
      </c>
      <c r="D5" s="10" t="s">
        <v>53</v>
      </c>
      <c r="E5" s="10" t="s">
        <v>54</v>
      </c>
      <c r="F5" s="11">
        <v>0.25347222222222221</v>
      </c>
      <c r="G5" s="10">
        <v>55</v>
      </c>
    </row>
    <row r="6" spans="1:7" x14ac:dyDescent="0.2">
      <c r="A6" s="8" t="s">
        <v>13</v>
      </c>
      <c r="B6" s="9">
        <v>45714</v>
      </c>
      <c r="C6" s="10">
        <v>126</v>
      </c>
      <c r="D6" s="10" t="s">
        <v>55</v>
      </c>
      <c r="E6" s="10" t="s">
        <v>50</v>
      </c>
      <c r="F6" s="11">
        <v>0.25</v>
      </c>
      <c r="G6" s="10">
        <v>40</v>
      </c>
    </row>
    <row r="7" spans="1:7" x14ac:dyDescent="0.2">
      <c r="A7" s="8" t="s">
        <v>13</v>
      </c>
      <c r="B7" s="9">
        <v>45714</v>
      </c>
      <c r="C7" s="10">
        <v>128</v>
      </c>
      <c r="D7" s="10" t="s">
        <v>56</v>
      </c>
      <c r="E7" s="10" t="s">
        <v>52</v>
      </c>
      <c r="F7" s="11">
        <v>0.27083333333333331</v>
      </c>
      <c r="G7" s="10">
        <v>46</v>
      </c>
    </row>
    <row r="8" spans="1:7" x14ac:dyDescent="0.2">
      <c r="A8" s="8" t="s">
        <v>13</v>
      </c>
      <c r="B8" s="9">
        <v>45714</v>
      </c>
      <c r="C8" s="10">
        <v>133</v>
      </c>
      <c r="D8" s="10" t="s">
        <v>57</v>
      </c>
      <c r="E8" s="10" t="s">
        <v>48</v>
      </c>
      <c r="F8" s="11">
        <v>0.27083333333333331</v>
      </c>
      <c r="G8" s="10">
        <v>41</v>
      </c>
    </row>
    <row r="9" spans="1:7" x14ac:dyDescent="0.2">
      <c r="A9" s="8" t="s">
        <v>13</v>
      </c>
      <c r="B9" s="9">
        <v>45714</v>
      </c>
      <c r="C9" s="10">
        <v>142</v>
      </c>
      <c r="D9" s="10" t="s">
        <v>58</v>
      </c>
      <c r="E9" s="10" t="s">
        <v>54</v>
      </c>
      <c r="F9" s="11">
        <v>0.3</v>
      </c>
      <c r="G9" s="10">
        <v>54</v>
      </c>
    </row>
    <row r="10" spans="1:7" x14ac:dyDescent="0.2">
      <c r="A10" s="8" t="s">
        <v>13</v>
      </c>
      <c r="B10" s="9">
        <v>45714</v>
      </c>
      <c r="C10" s="10">
        <v>146</v>
      </c>
      <c r="D10" s="10" t="s">
        <v>59</v>
      </c>
      <c r="E10" s="10" t="s">
        <v>50</v>
      </c>
      <c r="F10" s="11">
        <v>0.27777777777777779</v>
      </c>
      <c r="G10" s="10">
        <v>40</v>
      </c>
    </row>
    <row r="11" spans="1:7" x14ac:dyDescent="0.2">
      <c r="A11" s="8" t="s">
        <v>13</v>
      </c>
      <c r="B11" s="9">
        <v>45714</v>
      </c>
      <c r="C11" s="10">
        <v>152</v>
      </c>
      <c r="D11" s="10" t="s">
        <v>47</v>
      </c>
      <c r="E11" s="10" t="s">
        <v>54</v>
      </c>
      <c r="F11" s="11">
        <v>0.34861111111111109</v>
      </c>
      <c r="G11" s="10">
        <v>55</v>
      </c>
    </row>
    <row r="12" spans="1:7" x14ac:dyDescent="0.2">
      <c r="A12" s="8" t="s">
        <v>13</v>
      </c>
      <c r="B12" s="9">
        <v>45714</v>
      </c>
      <c r="C12" s="10">
        <v>153</v>
      </c>
      <c r="D12" s="10" t="s">
        <v>60</v>
      </c>
      <c r="E12" s="10" t="s">
        <v>48</v>
      </c>
      <c r="F12" s="11">
        <v>0.30208333333333331</v>
      </c>
      <c r="G12" s="10">
        <v>39</v>
      </c>
    </row>
    <row r="13" spans="1:7" x14ac:dyDescent="0.2">
      <c r="A13" s="8" t="s">
        <v>13</v>
      </c>
      <c r="B13" s="9">
        <v>45714</v>
      </c>
      <c r="C13" s="10">
        <v>156</v>
      </c>
      <c r="D13" s="10" t="s">
        <v>61</v>
      </c>
      <c r="E13" s="10" t="s">
        <v>50</v>
      </c>
      <c r="F13" s="11">
        <v>0.30625000000000002</v>
      </c>
      <c r="G13" s="10">
        <v>41</v>
      </c>
    </row>
    <row r="14" spans="1:7" x14ac:dyDescent="0.2">
      <c r="A14" s="8" t="s">
        <v>13</v>
      </c>
      <c r="B14" s="9">
        <v>45714</v>
      </c>
      <c r="C14" s="10">
        <v>158</v>
      </c>
      <c r="D14" s="10" t="s">
        <v>62</v>
      </c>
      <c r="E14" s="10" t="s">
        <v>52</v>
      </c>
      <c r="F14" s="11">
        <v>0.3298611111111111</v>
      </c>
      <c r="G14" s="10">
        <v>46</v>
      </c>
    </row>
    <row r="15" spans="1:7" x14ac:dyDescent="0.2">
      <c r="A15" s="8" t="s">
        <v>13</v>
      </c>
      <c r="B15" s="9">
        <v>45714</v>
      </c>
      <c r="C15" s="10">
        <v>166</v>
      </c>
      <c r="D15" s="10" t="s">
        <v>49</v>
      </c>
      <c r="E15" s="10" t="s">
        <v>50</v>
      </c>
      <c r="F15" s="11">
        <v>0.33333333333333331</v>
      </c>
      <c r="G15" s="10">
        <v>42</v>
      </c>
    </row>
    <row r="16" spans="1:7" x14ac:dyDescent="0.2">
      <c r="A16" s="8" t="s">
        <v>13</v>
      </c>
      <c r="B16" s="9">
        <v>45714</v>
      </c>
      <c r="C16" s="10">
        <v>178</v>
      </c>
      <c r="D16" s="10" t="s">
        <v>51</v>
      </c>
      <c r="E16" s="10" t="s">
        <v>52</v>
      </c>
      <c r="F16" s="11">
        <v>0.35069444444444442</v>
      </c>
      <c r="G16" s="10">
        <v>47</v>
      </c>
    </row>
    <row r="17" spans="1:7" x14ac:dyDescent="0.2">
      <c r="A17" s="8" t="s">
        <v>13</v>
      </c>
      <c r="B17" s="9">
        <v>45714</v>
      </c>
      <c r="C17" s="10">
        <v>192</v>
      </c>
      <c r="D17" s="10" t="s">
        <v>57</v>
      </c>
      <c r="E17" s="10" t="s">
        <v>54</v>
      </c>
      <c r="F17" s="11">
        <v>0.375</v>
      </c>
      <c r="G17" s="10">
        <v>55</v>
      </c>
    </row>
    <row r="18" spans="1:7" x14ac:dyDescent="0.2">
      <c r="A18" s="8" t="s">
        <v>13</v>
      </c>
      <c r="B18" s="9">
        <v>45714</v>
      </c>
      <c r="C18" s="10">
        <v>193</v>
      </c>
      <c r="D18" s="10" t="s">
        <v>55</v>
      </c>
      <c r="E18" s="10" t="s">
        <v>48</v>
      </c>
      <c r="F18" s="11">
        <v>0.37847222222222221</v>
      </c>
      <c r="G18" s="10">
        <v>42</v>
      </c>
    </row>
    <row r="19" spans="1:7" x14ac:dyDescent="0.2">
      <c r="A19" s="8" t="s">
        <v>13</v>
      </c>
      <c r="B19" s="9">
        <v>45714</v>
      </c>
      <c r="C19" s="10">
        <v>198</v>
      </c>
      <c r="D19" s="10" t="s">
        <v>53</v>
      </c>
      <c r="E19" s="10" t="s">
        <v>52</v>
      </c>
      <c r="F19" s="11">
        <v>0.375</v>
      </c>
      <c r="G19" s="10">
        <v>47</v>
      </c>
    </row>
    <row r="20" spans="1:7" x14ac:dyDescent="0.2">
      <c r="A20" s="8" t="s">
        <v>13</v>
      </c>
      <c r="B20" s="9">
        <v>45714</v>
      </c>
      <c r="C20" s="10">
        <v>203</v>
      </c>
      <c r="D20" s="10" t="s">
        <v>59</v>
      </c>
      <c r="E20" s="10" t="s">
        <v>48</v>
      </c>
      <c r="F20" s="11">
        <v>0.39791666666666664</v>
      </c>
      <c r="G20" s="10">
        <v>42</v>
      </c>
    </row>
    <row r="21" spans="1:7" x14ac:dyDescent="0.2">
      <c r="A21" s="8" t="s">
        <v>13</v>
      </c>
      <c r="B21" s="9">
        <v>45714</v>
      </c>
      <c r="C21" s="10">
        <v>216</v>
      </c>
      <c r="D21" s="10" t="s">
        <v>60</v>
      </c>
      <c r="E21" s="10" t="s">
        <v>50</v>
      </c>
      <c r="F21" s="11">
        <v>0.40972222222222221</v>
      </c>
      <c r="G21" s="10">
        <v>41</v>
      </c>
    </row>
    <row r="22" spans="1:7" x14ac:dyDescent="0.2">
      <c r="A22" s="8" t="s">
        <v>13</v>
      </c>
      <c r="B22" s="9">
        <v>45714</v>
      </c>
      <c r="C22" s="10">
        <v>232</v>
      </c>
      <c r="D22" s="10" t="s">
        <v>56</v>
      </c>
      <c r="E22" s="10" t="s">
        <v>54</v>
      </c>
      <c r="F22" s="11">
        <v>0.41666666666666669</v>
      </c>
      <c r="G22" s="10">
        <v>54</v>
      </c>
    </row>
    <row r="23" spans="1:7" x14ac:dyDescent="0.2">
      <c r="A23" s="8" t="s">
        <v>13</v>
      </c>
      <c r="B23" s="9">
        <v>45714</v>
      </c>
      <c r="C23" s="10">
        <v>233</v>
      </c>
      <c r="D23" s="10" t="s">
        <v>61</v>
      </c>
      <c r="E23" s="10" t="s">
        <v>48</v>
      </c>
      <c r="F23" s="11">
        <v>0.44444444444444442</v>
      </c>
      <c r="G23" s="10">
        <v>41</v>
      </c>
    </row>
    <row r="24" spans="1:7" x14ac:dyDescent="0.2">
      <c r="A24" s="8" t="s">
        <v>13</v>
      </c>
      <c r="B24" s="9">
        <v>45714</v>
      </c>
      <c r="C24" s="10">
        <v>236</v>
      </c>
      <c r="D24" s="10" t="s">
        <v>62</v>
      </c>
      <c r="E24" s="10" t="s">
        <v>50</v>
      </c>
      <c r="F24" s="11">
        <v>0.45694444444444443</v>
      </c>
      <c r="G24" s="10">
        <v>42</v>
      </c>
    </row>
    <row r="25" spans="1:7" x14ac:dyDescent="0.2">
      <c r="A25" s="8" t="s">
        <v>13</v>
      </c>
      <c r="B25" s="9">
        <v>45714</v>
      </c>
      <c r="C25" s="10">
        <v>238</v>
      </c>
      <c r="D25" s="10" t="s">
        <v>63</v>
      </c>
      <c r="E25" s="10" t="s">
        <v>52</v>
      </c>
      <c r="F25" s="11">
        <v>0.4375</v>
      </c>
      <c r="G25" s="10">
        <v>47</v>
      </c>
    </row>
    <row r="26" spans="1:7" x14ac:dyDescent="0.2">
      <c r="A26" s="8" t="s">
        <v>13</v>
      </c>
      <c r="B26" s="9">
        <v>45714</v>
      </c>
      <c r="C26" s="10">
        <v>242</v>
      </c>
      <c r="D26" s="10" t="s">
        <v>47</v>
      </c>
      <c r="E26" s="10" t="s">
        <v>54</v>
      </c>
      <c r="F26" s="11">
        <v>0.46875</v>
      </c>
      <c r="G26" s="10">
        <v>55</v>
      </c>
    </row>
    <row r="27" spans="1:7" x14ac:dyDescent="0.2">
      <c r="A27" s="8" t="s">
        <v>13</v>
      </c>
      <c r="B27" s="9">
        <v>45714</v>
      </c>
      <c r="C27" s="10">
        <v>253</v>
      </c>
      <c r="D27" s="10" t="s">
        <v>58</v>
      </c>
      <c r="E27" s="10" t="s">
        <v>48</v>
      </c>
      <c r="F27" s="11">
        <v>0.46527777777777779</v>
      </c>
      <c r="G27" s="10">
        <v>44</v>
      </c>
    </row>
    <row r="28" spans="1:7" x14ac:dyDescent="0.2">
      <c r="A28" s="8" t="s">
        <v>13</v>
      </c>
      <c r="B28" s="9">
        <v>45714</v>
      </c>
      <c r="C28" s="10">
        <v>258</v>
      </c>
      <c r="D28" s="10" t="s">
        <v>49</v>
      </c>
      <c r="E28" s="10" t="s">
        <v>52</v>
      </c>
      <c r="F28" s="11">
        <v>0.46180555555555558</v>
      </c>
      <c r="G28" s="10">
        <v>49</v>
      </c>
    </row>
    <row r="29" spans="1:7" x14ac:dyDescent="0.2">
      <c r="A29" s="8" t="s">
        <v>13</v>
      </c>
      <c r="B29" s="9">
        <v>45714</v>
      </c>
      <c r="C29" s="10">
        <v>266</v>
      </c>
      <c r="D29" s="10" t="s">
        <v>64</v>
      </c>
      <c r="E29" s="10" t="s">
        <v>50</v>
      </c>
      <c r="F29" s="11">
        <v>0.4826388888888889</v>
      </c>
      <c r="G29" s="10">
        <v>44</v>
      </c>
    </row>
    <row r="30" spans="1:7" x14ac:dyDescent="0.2">
      <c r="A30" s="8" t="s">
        <v>13</v>
      </c>
      <c r="B30" s="9">
        <v>45714</v>
      </c>
      <c r="C30" s="10">
        <v>268</v>
      </c>
      <c r="D30" s="10" t="s">
        <v>65</v>
      </c>
      <c r="E30" s="10" t="s">
        <v>52</v>
      </c>
      <c r="F30" s="11">
        <v>0.49652777777777779</v>
      </c>
      <c r="G30" s="10">
        <v>50</v>
      </c>
    </row>
    <row r="31" spans="1:7" x14ac:dyDescent="0.2">
      <c r="A31" s="8" t="s">
        <v>13</v>
      </c>
      <c r="B31" s="9">
        <v>45714</v>
      </c>
      <c r="C31" s="10">
        <v>272</v>
      </c>
      <c r="D31" s="10" t="s">
        <v>66</v>
      </c>
      <c r="E31" s="10" t="s">
        <v>54</v>
      </c>
      <c r="F31" s="11">
        <v>0.51041666666666663</v>
      </c>
      <c r="G31" s="10">
        <v>56</v>
      </c>
    </row>
    <row r="32" spans="1:7" x14ac:dyDescent="0.2">
      <c r="A32" s="8" t="s">
        <v>13</v>
      </c>
      <c r="B32" s="9">
        <v>45714</v>
      </c>
      <c r="C32" s="10">
        <v>276</v>
      </c>
      <c r="D32" s="10" t="s">
        <v>59</v>
      </c>
      <c r="E32" s="10" t="s">
        <v>50</v>
      </c>
      <c r="F32" s="11">
        <v>0.50694444444444442</v>
      </c>
      <c r="G32" s="10">
        <v>44</v>
      </c>
    </row>
    <row r="33" spans="1:7" x14ac:dyDescent="0.2">
      <c r="A33" s="8" t="s">
        <v>13</v>
      </c>
      <c r="B33" s="9">
        <v>45714</v>
      </c>
      <c r="C33" s="10">
        <v>283</v>
      </c>
      <c r="D33" s="10" t="s">
        <v>60</v>
      </c>
      <c r="E33" s="10" t="s">
        <v>48</v>
      </c>
      <c r="F33" s="11">
        <v>0.5229166666666667</v>
      </c>
      <c r="G33" s="10">
        <v>44</v>
      </c>
    </row>
    <row r="34" spans="1:7" x14ac:dyDescent="0.2">
      <c r="A34" s="8" t="s">
        <v>13</v>
      </c>
      <c r="B34" s="9">
        <v>45714</v>
      </c>
      <c r="C34" s="10">
        <v>286</v>
      </c>
      <c r="D34" s="10" t="s">
        <v>61</v>
      </c>
      <c r="E34" s="10" t="s">
        <v>50</v>
      </c>
      <c r="F34" s="11">
        <v>0.54236111111111107</v>
      </c>
      <c r="G34" s="10">
        <v>44</v>
      </c>
    </row>
    <row r="35" spans="1:7" x14ac:dyDescent="0.2">
      <c r="A35" s="8" t="s">
        <v>13</v>
      </c>
      <c r="B35" s="9">
        <v>45714</v>
      </c>
      <c r="C35" s="10">
        <v>298</v>
      </c>
      <c r="D35" s="10" t="s">
        <v>51</v>
      </c>
      <c r="E35" s="10" t="s">
        <v>52</v>
      </c>
      <c r="F35" s="11">
        <v>0.53819444444444442</v>
      </c>
      <c r="G35" s="10">
        <v>48</v>
      </c>
    </row>
    <row r="36" spans="1:7" x14ac:dyDescent="0.2">
      <c r="A36" s="8" t="s">
        <v>13</v>
      </c>
      <c r="B36" s="9">
        <v>45714</v>
      </c>
      <c r="C36" s="10">
        <v>303</v>
      </c>
      <c r="D36" s="10" t="s">
        <v>63</v>
      </c>
      <c r="E36" s="10" t="s">
        <v>48</v>
      </c>
      <c r="F36" s="11">
        <v>0.55000000000000004</v>
      </c>
      <c r="G36" s="10">
        <v>45</v>
      </c>
    </row>
    <row r="37" spans="1:7" x14ac:dyDescent="0.2">
      <c r="A37" s="8" t="s">
        <v>13</v>
      </c>
      <c r="B37" s="9">
        <v>45714</v>
      </c>
      <c r="C37" s="10">
        <v>306</v>
      </c>
      <c r="D37" s="10" t="s">
        <v>56</v>
      </c>
      <c r="E37" s="10" t="s">
        <v>50</v>
      </c>
      <c r="F37" s="11">
        <v>0.55902777777777779</v>
      </c>
      <c r="G37" s="10">
        <v>44</v>
      </c>
    </row>
    <row r="38" spans="1:7" x14ac:dyDescent="0.2">
      <c r="A38" s="8" t="s">
        <v>13</v>
      </c>
      <c r="B38" s="9">
        <v>45714</v>
      </c>
      <c r="C38" s="10">
        <v>312</v>
      </c>
      <c r="D38" s="10" t="s">
        <v>47</v>
      </c>
      <c r="E38" s="10" t="s">
        <v>54</v>
      </c>
      <c r="F38" s="11">
        <v>0.59722222222222221</v>
      </c>
      <c r="G38" s="10">
        <v>55</v>
      </c>
    </row>
    <row r="39" spans="1:7" x14ac:dyDescent="0.2">
      <c r="A39" s="8" t="s">
        <v>13</v>
      </c>
      <c r="B39" s="9">
        <v>45714</v>
      </c>
      <c r="C39" s="10">
        <v>318</v>
      </c>
      <c r="D39" s="10" t="s">
        <v>58</v>
      </c>
      <c r="E39" s="10" t="s">
        <v>52</v>
      </c>
      <c r="F39" s="11">
        <v>0.57291666666666663</v>
      </c>
      <c r="G39" s="10">
        <v>48</v>
      </c>
    </row>
    <row r="40" spans="1:7" x14ac:dyDescent="0.2">
      <c r="A40" s="8" t="s">
        <v>13</v>
      </c>
      <c r="B40" s="9">
        <v>45714</v>
      </c>
      <c r="C40" s="10">
        <v>326</v>
      </c>
      <c r="D40" s="10" t="s">
        <v>62</v>
      </c>
      <c r="E40" s="10" t="s">
        <v>50</v>
      </c>
      <c r="F40" s="11">
        <v>0.58333333333333337</v>
      </c>
      <c r="G40" s="10">
        <v>45</v>
      </c>
    </row>
    <row r="41" spans="1:7" x14ac:dyDescent="0.2">
      <c r="A41" s="8" t="s">
        <v>13</v>
      </c>
      <c r="B41" s="9">
        <v>45714</v>
      </c>
      <c r="C41" s="10">
        <v>336</v>
      </c>
      <c r="D41" s="10" t="s">
        <v>53</v>
      </c>
      <c r="E41" s="10" t="s">
        <v>50</v>
      </c>
      <c r="F41" s="11">
        <v>0.60069444444444442</v>
      </c>
      <c r="G41" s="10">
        <v>45</v>
      </c>
    </row>
    <row r="42" spans="1:7" x14ac:dyDescent="0.2">
      <c r="A42" s="8" t="s">
        <v>13</v>
      </c>
      <c r="B42" s="9">
        <v>45714</v>
      </c>
      <c r="C42" s="10">
        <v>338</v>
      </c>
      <c r="D42" s="10" t="s">
        <v>55</v>
      </c>
      <c r="E42" s="10" t="s">
        <v>52</v>
      </c>
      <c r="F42" s="11">
        <v>0.61458333333333337</v>
      </c>
      <c r="G42" s="10">
        <v>50</v>
      </c>
    </row>
    <row r="43" spans="1:7" x14ac:dyDescent="0.2">
      <c r="A43" s="8" t="s">
        <v>13</v>
      </c>
      <c r="B43" s="9">
        <v>45714</v>
      </c>
      <c r="C43" s="10">
        <v>343</v>
      </c>
      <c r="D43" s="10" t="s">
        <v>64</v>
      </c>
      <c r="E43" s="10" t="s">
        <v>48</v>
      </c>
      <c r="F43" s="11">
        <v>0.60763888888888884</v>
      </c>
      <c r="G43" s="10">
        <v>43</v>
      </c>
    </row>
    <row r="44" spans="1:7" x14ac:dyDescent="0.2">
      <c r="A44" s="8" t="s">
        <v>13</v>
      </c>
      <c r="B44" s="9">
        <v>45714</v>
      </c>
      <c r="C44" s="10">
        <v>346</v>
      </c>
      <c r="D44" s="10" t="s">
        <v>65</v>
      </c>
      <c r="E44" s="10" t="s">
        <v>50</v>
      </c>
      <c r="F44" s="11">
        <v>0.62847222222222221</v>
      </c>
      <c r="G44" s="10">
        <v>42</v>
      </c>
    </row>
    <row r="45" spans="1:7" x14ac:dyDescent="0.2">
      <c r="A45" s="8" t="s">
        <v>13</v>
      </c>
      <c r="B45" s="9">
        <v>45714</v>
      </c>
      <c r="C45" s="10">
        <v>352</v>
      </c>
      <c r="D45" s="10" t="s">
        <v>60</v>
      </c>
      <c r="E45" s="10" t="s">
        <v>54</v>
      </c>
      <c r="F45" s="11">
        <v>0.63541666666666663</v>
      </c>
      <c r="G45" s="10">
        <v>53</v>
      </c>
    </row>
    <row r="46" spans="1:7" x14ac:dyDescent="0.2">
      <c r="A46" s="8" t="s">
        <v>13</v>
      </c>
      <c r="B46" s="9">
        <v>45714</v>
      </c>
      <c r="C46" s="10">
        <v>356</v>
      </c>
      <c r="D46" s="10" t="s">
        <v>66</v>
      </c>
      <c r="E46" s="10" t="s">
        <v>50</v>
      </c>
      <c r="F46" s="11">
        <v>0.64583333333333337</v>
      </c>
      <c r="G46" s="10">
        <v>42</v>
      </c>
    </row>
    <row r="47" spans="1:7" x14ac:dyDescent="0.2">
      <c r="A47" s="8" t="s">
        <v>13</v>
      </c>
      <c r="B47" s="9">
        <v>45714</v>
      </c>
      <c r="C47" s="10">
        <v>363</v>
      </c>
      <c r="D47" s="10" t="s">
        <v>51</v>
      </c>
      <c r="E47" s="10" t="s">
        <v>48</v>
      </c>
      <c r="F47" s="11">
        <v>0.65625</v>
      </c>
      <c r="G47" s="10">
        <v>43</v>
      </c>
    </row>
    <row r="48" spans="1:7" x14ac:dyDescent="0.2">
      <c r="A48" s="8" t="s">
        <v>13</v>
      </c>
      <c r="B48" s="9">
        <v>45714</v>
      </c>
      <c r="C48" s="10">
        <v>368</v>
      </c>
      <c r="D48" s="10" t="s">
        <v>61</v>
      </c>
      <c r="E48" s="10" t="s">
        <v>52</v>
      </c>
      <c r="F48" s="11">
        <v>0.65625</v>
      </c>
      <c r="G48" s="10">
        <v>48</v>
      </c>
    </row>
    <row r="49" spans="1:7" x14ac:dyDescent="0.2">
      <c r="A49" s="8" t="s">
        <v>13</v>
      </c>
      <c r="B49" s="9">
        <v>45714</v>
      </c>
      <c r="C49" s="10">
        <v>373</v>
      </c>
      <c r="D49" s="10" t="s">
        <v>63</v>
      </c>
      <c r="E49" s="10" t="s">
        <v>48</v>
      </c>
      <c r="F49" s="11">
        <v>0.68402777777777779</v>
      </c>
      <c r="G49" s="10">
        <v>42</v>
      </c>
    </row>
    <row r="50" spans="1:7" x14ac:dyDescent="0.2">
      <c r="A50" s="8" t="s">
        <v>13</v>
      </c>
      <c r="B50" s="9">
        <v>45714</v>
      </c>
      <c r="C50" s="10">
        <v>376</v>
      </c>
      <c r="D50" s="10" t="s">
        <v>59</v>
      </c>
      <c r="E50" s="10" t="s">
        <v>50</v>
      </c>
      <c r="F50" s="11">
        <v>0.67708333333333337</v>
      </c>
      <c r="G50" s="10">
        <v>41</v>
      </c>
    </row>
    <row r="51" spans="1:7" x14ac:dyDescent="0.2">
      <c r="A51" s="8" t="s">
        <v>13</v>
      </c>
      <c r="B51" s="9">
        <v>45714</v>
      </c>
      <c r="C51" s="10">
        <v>386</v>
      </c>
      <c r="D51" s="10" t="s">
        <v>58</v>
      </c>
      <c r="E51" s="10" t="s">
        <v>50</v>
      </c>
      <c r="F51" s="11">
        <v>0.70138888888888884</v>
      </c>
      <c r="G51" s="10">
        <v>41</v>
      </c>
    </row>
    <row r="52" spans="1:7" x14ac:dyDescent="0.2">
      <c r="A52" s="8" t="s">
        <v>13</v>
      </c>
      <c r="B52" s="9">
        <v>45714</v>
      </c>
      <c r="C52" s="10">
        <v>388</v>
      </c>
      <c r="D52" s="10" t="s">
        <v>49</v>
      </c>
      <c r="E52" s="10" t="s">
        <v>52</v>
      </c>
      <c r="F52" s="11">
        <v>0.70138888888888884</v>
      </c>
      <c r="G52" s="10">
        <v>47</v>
      </c>
    </row>
    <row r="53" spans="1:7" x14ac:dyDescent="0.2">
      <c r="A53" s="8" t="s">
        <v>13</v>
      </c>
      <c r="B53" s="9">
        <v>45714</v>
      </c>
      <c r="C53" s="10">
        <v>392</v>
      </c>
      <c r="D53" s="10" t="s">
        <v>56</v>
      </c>
      <c r="E53" s="10" t="s">
        <v>54</v>
      </c>
      <c r="F53" s="11">
        <v>0.72222222222222221</v>
      </c>
      <c r="G53" s="10">
        <v>53</v>
      </c>
    </row>
    <row r="54" spans="1:7" x14ac:dyDescent="0.2">
      <c r="A54" s="8" t="s">
        <v>13</v>
      </c>
      <c r="B54" s="9">
        <v>45714</v>
      </c>
      <c r="C54" s="10">
        <v>393</v>
      </c>
      <c r="D54" s="10" t="s">
        <v>53</v>
      </c>
      <c r="E54" s="10" t="s">
        <v>48</v>
      </c>
      <c r="F54" s="11">
        <v>0.72222222222222221</v>
      </c>
      <c r="G54" s="10">
        <v>40</v>
      </c>
    </row>
    <row r="55" spans="1:7" x14ac:dyDescent="0.2">
      <c r="A55" s="8" t="s">
        <v>13</v>
      </c>
      <c r="B55" s="9">
        <v>45714</v>
      </c>
      <c r="C55" s="10">
        <v>396</v>
      </c>
      <c r="D55" s="10" t="s">
        <v>47</v>
      </c>
      <c r="E55" s="10" t="s">
        <v>50</v>
      </c>
      <c r="F55" s="11">
        <v>0.72222222222222221</v>
      </c>
      <c r="G55" s="10">
        <v>40</v>
      </c>
    </row>
    <row r="56" spans="1:7" x14ac:dyDescent="0.2">
      <c r="A56" s="8" t="s">
        <v>13</v>
      </c>
      <c r="B56" s="9">
        <v>45714</v>
      </c>
      <c r="C56" s="10">
        <v>503</v>
      </c>
      <c r="D56" s="10" t="s">
        <v>65</v>
      </c>
      <c r="E56" s="10" t="s">
        <v>48</v>
      </c>
      <c r="F56" s="11">
        <v>0.73958333333333337</v>
      </c>
      <c r="G56" s="10">
        <v>40</v>
      </c>
    </row>
    <row r="57" spans="1:7" x14ac:dyDescent="0.2">
      <c r="A57" s="8" t="s">
        <v>13</v>
      </c>
      <c r="B57" s="9">
        <v>45714</v>
      </c>
      <c r="C57" s="10">
        <v>506</v>
      </c>
      <c r="D57" s="10" t="s">
        <v>64</v>
      </c>
      <c r="E57" s="10" t="s">
        <v>50</v>
      </c>
      <c r="F57" s="11">
        <v>0.73611111111111116</v>
      </c>
      <c r="G57" s="10">
        <v>40</v>
      </c>
    </row>
    <row r="58" spans="1:7" x14ac:dyDescent="0.2">
      <c r="A58" s="8" t="s">
        <v>13</v>
      </c>
      <c r="B58" s="9">
        <v>45714</v>
      </c>
      <c r="C58" s="10">
        <v>508</v>
      </c>
      <c r="D58" s="10" t="s">
        <v>62</v>
      </c>
      <c r="E58" s="10" t="s">
        <v>52</v>
      </c>
      <c r="F58" s="11">
        <v>0.74930555555555556</v>
      </c>
      <c r="G58" s="10">
        <v>45</v>
      </c>
    </row>
    <row r="59" spans="1:7" x14ac:dyDescent="0.2">
      <c r="A59" s="8" t="s">
        <v>13</v>
      </c>
      <c r="B59" s="9">
        <v>45714</v>
      </c>
      <c r="C59" s="10">
        <v>516</v>
      </c>
      <c r="D59" s="10" t="s">
        <v>66</v>
      </c>
      <c r="E59" s="10" t="s">
        <v>50</v>
      </c>
      <c r="F59" s="11">
        <v>0.75694444444444442</v>
      </c>
      <c r="G59" s="10">
        <v>40</v>
      </c>
    </row>
    <row r="60" spans="1:7" x14ac:dyDescent="0.2">
      <c r="A60" s="8" t="s">
        <v>13</v>
      </c>
      <c r="B60" s="9">
        <v>45714</v>
      </c>
      <c r="C60" s="10">
        <v>532</v>
      </c>
      <c r="D60" s="10" t="s">
        <v>61</v>
      </c>
      <c r="E60" s="10" t="s">
        <v>54</v>
      </c>
      <c r="F60" s="11">
        <v>0.77083333333333337</v>
      </c>
      <c r="G60" s="10">
        <v>54</v>
      </c>
    </row>
    <row r="61" spans="1:7" x14ac:dyDescent="0.2">
      <c r="A61" s="8" t="s">
        <v>13</v>
      </c>
      <c r="B61" s="9">
        <v>45714</v>
      </c>
      <c r="C61" s="10">
        <v>533</v>
      </c>
      <c r="D61" s="10" t="s">
        <v>63</v>
      </c>
      <c r="E61" s="10" t="s">
        <v>48</v>
      </c>
      <c r="F61" s="11">
        <v>0.78402777777777777</v>
      </c>
      <c r="G61" s="10">
        <v>41</v>
      </c>
    </row>
    <row r="62" spans="1:7" x14ac:dyDescent="0.2">
      <c r="A62" s="8" t="s">
        <v>13</v>
      </c>
      <c r="B62" s="9">
        <v>45714</v>
      </c>
      <c r="C62" s="10">
        <v>546</v>
      </c>
      <c r="D62" s="10" t="s">
        <v>58</v>
      </c>
      <c r="E62" s="10" t="s">
        <v>50</v>
      </c>
      <c r="F62" s="11">
        <v>0.80486111111111114</v>
      </c>
      <c r="G62" s="10">
        <v>40</v>
      </c>
    </row>
    <row r="63" spans="1:7" x14ac:dyDescent="0.2">
      <c r="A63" s="8" t="s">
        <v>13</v>
      </c>
      <c r="B63" s="9">
        <v>45714</v>
      </c>
      <c r="C63" s="10">
        <v>552</v>
      </c>
      <c r="D63" s="10" t="s">
        <v>49</v>
      </c>
      <c r="E63" s="10" t="s">
        <v>54</v>
      </c>
      <c r="F63" s="11">
        <v>0.81597222222222221</v>
      </c>
      <c r="G63" s="10">
        <v>53</v>
      </c>
    </row>
    <row r="64" spans="1:7" x14ac:dyDescent="0.2">
      <c r="A64" s="8" t="s">
        <v>13</v>
      </c>
      <c r="B64" s="9">
        <v>45714</v>
      </c>
      <c r="C64" s="10">
        <v>563</v>
      </c>
      <c r="D64" s="10" t="s">
        <v>59</v>
      </c>
      <c r="E64" s="10" t="s">
        <v>48</v>
      </c>
      <c r="F64" s="11">
        <v>0.84375</v>
      </c>
      <c r="G64" s="10">
        <v>40</v>
      </c>
    </row>
    <row r="65" spans="1:7" x14ac:dyDescent="0.2">
      <c r="A65" s="8" t="s">
        <v>13</v>
      </c>
      <c r="B65" s="9">
        <v>45714</v>
      </c>
      <c r="C65" s="10">
        <v>568</v>
      </c>
      <c r="D65" s="10" t="s">
        <v>51</v>
      </c>
      <c r="E65" s="10" t="s">
        <v>52</v>
      </c>
      <c r="F65" s="11">
        <v>0.84027777777777779</v>
      </c>
      <c r="G65" s="10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77A7-BE20-124C-8F24-2BF80DE2F45A}">
  <dimension ref="A3:B8"/>
  <sheetViews>
    <sheetView workbookViewId="0">
      <selection activeCell="C7" sqref="C7"/>
    </sheetView>
  </sheetViews>
  <sheetFormatPr baseColWidth="10" defaultRowHeight="16" x14ac:dyDescent="0.2"/>
  <cols>
    <col min="1" max="1" width="13" bestFit="1" customWidth="1"/>
    <col min="2" max="2" width="20.33203125" bestFit="1" customWidth="1"/>
  </cols>
  <sheetData>
    <row r="3" spans="1:2" x14ac:dyDescent="0.2">
      <c r="A3" s="12" t="s">
        <v>68</v>
      </c>
      <c r="B3" t="s">
        <v>70</v>
      </c>
    </row>
    <row r="4" spans="1:2" x14ac:dyDescent="0.2">
      <c r="A4" s="13" t="s">
        <v>54</v>
      </c>
      <c r="B4">
        <v>12</v>
      </c>
    </row>
    <row r="5" spans="1:2" x14ac:dyDescent="0.2">
      <c r="A5" s="13" t="s">
        <v>52</v>
      </c>
      <c r="B5">
        <v>15</v>
      </c>
    </row>
    <row r="6" spans="1:2" x14ac:dyDescent="0.2">
      <c r="A6" s="13" t="s">
        <v>48</v>
      </c>
      <c r="B6">
        <v>16</v>
      </c>
    </row>
    <row r="7" spans="1:2" x14ac:dyDescent="0.2">
      <c r="A7" s="13" t="s">
        <v>50</v>
      </c>
      <c r="B7">
        <v>21</v>
      </c>
    </row>
    <row r="8" spans="1:2" x14ac:dyDescent="0.2">
      <c r="A8" s="13" t="s">
        <v>69</v>
      </c>
      <c r="B8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80DB-4B42-F94A-A73C-7A9EB136C7FD}">
  <dimension ref="A1:I22"/>
  <sheetViews>
    <sheetView workbookViewId="0">
      <selection activeCell="I2" sqref="I2"/>
    </sheetView>
  </sheetViews>
  <sheetFormatPr baseColWidth="10" defaultRowHeight="16" x14ac:dyDescent="0.2"/>
  <sheetData>
    <row r="1" spans="1:9" ht="45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16" t="s">
        <v>71</v>
      </c>
      <c r="I1" s="16" t="s">
        <v>72</v>
      </c>
    </row>
    <row r="2" spans="1:9" x14ac:dyDescent="0.2">
      <c r="A2" s="3" t="s">
        <v>13</v>
      </c>
      <c r="B2" s="4">
        <v>45714</v>
      </c>
      <c r="C2" s="3">
        <v>116</v>
      </c>
      <c r="D2" s="3" t="s">
        <v>49</v>
      </c>
      <c r="E2" s="3" t="s">
        <v>50</v>
      </c>
      <c r="F2" s="5">
        <v>0.23333333333333334</v>
      </c>
      <c r="G2" s="3">
        <v>39</v>
      </c>
      <c r="H2" s="17">
        <f>AVERAGE($G$2:$G$22)</f>
        <v>41.761904761904759</v>
      </c>
      <c r="I2">
        <f>ROUND((H2/60), 2)</f>
        <v>0.7</v>
      </c>
    </row>
    <row r="3" spans="1:9" x14ac:dyDescent="0.2">
      <c r="A3" s="3" t="s">
        <v>13</v>
      </c>
      <c r="B3" s="4">
        <v>45714</v>
      </c>
      <c r="C3" s="3">
        <v>126</v>
      </c>
      <c r="D3" s="3" t="s">
        <v>55</v>
      </c>
      <c r="E3" s="3" t="s">
        <v>50</v>
      </c>
      <c r="F3" s="5">
        <v>0.25</v>
      </c>
      <c r="G3" s="3">
        <v>40</v>
      </c>
      <c r="H3" s="17">
        <f t="shared" ref="H3:H22" si="0">AVERAGE($G$2:$G$22)</f>
        <v>41.761904761904759</v>
      </c>
      <c r="I3">
        <f t="shared" ref="I3:I22" si="1">ROUND((H3/60), 2)</f>
        <v>0.7</v>
      </c>
    </row>
    <row r="4" spans="1:9" x14ac:dyDescent="0.2">
      <c r="A4" s="3" t="s">
        <v>13</v>
      </c>
      <c r="B4" s="4">
        <v>45714</v>
      </c>
      <c r="C4" s="3">
        <v>146</v>
      </c>
      <c r="D4" s="3" t="s">
        <v>59</v>
      </c>
      <c r="E4" s="3" t="s">
        <v>50</v>
      </c>
      <c r="F4" s="5">
        <v>0.27777777777777779</v>
      </c>
      <c r="G4" s="3">
        <v>40</v>
      </c>
      <c r="H4" s="17">
        <f t="shared" si="0"/>
        <v>41.761904761904759</v>
      </c>
      <c r="I4">
        <f t="shared" si="1"/>
        <v>0.7</v>
      </c>
    </row>
    <row r="5" spans="1:9" x14ac:dyDescent="0.2">
      <c r="A5" s="3" t="s">
        <v>13</v>
      </c>
      <c r="B5" s="4">
        <v>45714</v>
      </c>
      <c r="C5" s="3">
        <v>156</v>
      </c>
      <c r="D5" s="3" t="s">
        <v>61</v>
      </c>
      <c r="E5" s="3" t="s">
        <v>50</v>
      </c>
      <c r="F5" s="5">
        <v>0.30625000000000002</v>
      </c>
      <c r="G5" s="3">
        <v>41</v>
      </c>
      <c r="H5" s="17">
        <f t="shared" si="0"/>
        <v>41.761904761904759</v>
      </c>
      <c r="I5">
        <f t="shared" si="1"/>
        <v>0.7</v>
      </c>
    </row>
    <row r="6" spans="1:9" x14ac:dyDescent="0.2">
      <c r="A6" s="3" t="s">
        <v>13</v>
      </c>
      <c r="B6" s="4">
        <v>45714</v>
      </c>
      <c r="C6" s="3">
        <v>166</v>
      </c>
      <c r="D6" s="3" t="s">
        <v>49</v>
      </c>
      <c r="E6" s="3" t="s">
        <v>50</v>
      </c>
      <c r="F6" s="5">
        <v>0.33333333333333331</v>
      </c>
      <c r="G6" s="3">
        <v>42</v>
      </c>
      <c r="H6" s="17">
        <f t="shared" si="0"/>
        <v>41.761904761904759</v>
      </c>
      <c r="I6">
        <f t="shared" si="1"/>
        <v>0.7</v>
      </c>
    </row>
    <row r="7" spans="1:9" x14ac:dyDescent="0.2">
      <c r="A7" s="3" t="s">
        <v>13</v>
      </c>
      <c r="B7" s="4">
        <v>45714</v>
      </c>
      <c r="C7" s="3">
        <v>216</v>
      </c>
      <c r="D7" s="3" t="s">
        <v>60</v>
      </c>
      <c r="E7" s="3" t="s">
        <v>50</v>
      </c>
      <c r="F7" s="5">
        <v>0.40972222222222221</v>
      </c>
      <c r="G7" s="3">
        <v>41</v>
      </c>
      <c r="H7" s="17">
        <f t="shared" si="0"/>
        <v>41.761904761904759</v>
      </c>
      <c r="I7">
        <f t="shared" si="1"/>
        <v>0.7</v>
      </c>
    </row>
    <row r="8" spans="1:9" x14ac:dyDescent="0.2">
      <c r="A8" s="3" t="s">
        <v>13</v>
      </c>
      <c r="B8" s="4">
        <v>45714</v>
      </c>
      <c r="C8" s="3">
        <v>236</v>
      </c>
      <c r="D8" s="3" t="s">
        <v>62</v>
      </c>
      <c r="E8" s="3" t="s">
        <v>50</v>
      </c>
      <c r="F8" s="5">
        <v>0.45694444444444443</v>
      </c>
      <c r="G8" s="3">
        <v>42</v>
      </c>
      <c r="H8" s="17">
        <f t="shared" si="0"/>
        <v>41.761904761904759</v>
      </c>
      <c r="I8">
        <f t="shared" si="1"/>
        <v>0.7</v>
      </c>
    </row>
    <row r="9" spans="1:9" x14ac:dyDescent="0.2">
      <c r="A9" s="3" t="s">
        <v>13</v>
      </c>
      <c r="B9" s="4">
        <v>45714</v>
      </c>
      <c r="C9" s="3">
        <v>266</v>
      </c>
      <c r="D9" s="3" t="s">
        <v>64</v>
      </c>
      <c r="E9" s="3" t="s">
        <v>50</v>
      </c>
      <c r="F9" s="5">
        <v>0.4826388888888889</v>
      </c>
      <c r="G9" s="3">
        <v>44</v>
      </c>
      <c r="H9" s="17">
        <f t="shared" si="0"/>
        <v>41.761904761904759</v>
      </c>
      <c r="I9">
        <f t="shared" si="1"/>
        <v>0.7</v>
      </c>
    </row>
    <row r="10" spans="1:9" x14ac:dyDescent="0.2">
      <c r="A10" s="3" t="s">
        <v>13</v>
      </c>
      <c r="B10" s="4">
        <v>45714</v>
      </c>
      <c r="C10" s="3">
        <v>276</v>
      </c>
      <c r="D10" s="3" t="s">
        <v>59</v>
      </c>
      <c r="E10" s="3" t="s">
        <v>50</v>
      </c>
      <c r="F10" s="5">
        <v>0.50694444444444442</v>
      </c>
      <c r="G10" s="3">
        <v>44</v>
      </c>
      <c r="H10" s="17">
        <f t="shared" si="0"/>
        <v>41.761904761904759</v>
      </c>
      <c r="I10">
        <f t="shared" si="1"/>
        <v>0.7</v>
      </c>
    </row>
    <row r="11" spans="1:9" x14ac:dyDescent="0.2">
      <c r="A11" s="3" t="s">
        <v>13</v>
      </c>
      <c r="B11" s="4">
        <v>45714</v>
      </c>
      <c r="C11" s="3">
        <v>286</v>
      </c>
      <c r="D11" s="3" t="s">
        <v>61</v>
      </c>
      <c r="E11" s="3" t="s">
        <v>50</v>
      </c>
      <c r="F11" s="5">
        <v>0.54236111111111107</v>
      </c>
      <c r="G11" s="3">
        <v>44</v>
      </c>
      <c r="H11" s="17">
        <f t="shared" si="0"/>
        <v>41.761904761904759</v>
      </c>
      <c r="I11">
        <f t="shared" si="1"/>
        <v>0.7</v>
      </c>
    </row>
    <row r="12" spans="1:9" x14ac:dyDescent="0.2">
      <c r="A12" s="3" t="s">
        <v>13</v>
      </c>
      <c r="B12" s="4">
        <v>45714</v>
      </c>
      <c r="C12" s="3">
        <v>306</v>
      </c>
      <c r="D12" s="3" t="s">
        <v>56</v>
      </c>
      <c r="E12" s="3" t="s">
        <v>50</v>
      </c>
      <c r="F12" s="5">
        <v>0.55902777777777779</v>
      </c>
      <c r="G12" s="3">
        <v>44</v>
      </c>
      <c r="H12" s="17">
        <f t="shared" si="0"/>
        <v>41.761904761904759</v>
      </c>
      <c r="I12">
        <f t="shared" si="1"/>
        <v>0.7</v>
      </c>
    </row>
    <row r="13" spans="1:9" x14ac:dyDescent="0.2">
      <c r="A13" s="3" t="s">
        <v>13</v>
      </c>
      <c r="B13" s="4">
        <v>45714</v>
      </c>
      <c r="C13" s="3">
        <v>326</v>
      </c>
      <c r="D13" s="3" t="s">
        <v>62</v>
      </c>
      <c r="E13" s="3" t="s">
        <v>50</v>
      </c>
      <c r="F13" s="5">
        <v>0.58333333333333337</v>
      </c>
      <c r="G13" s="3">
        <v>45</v>
      </c>
      <c r="H13" s="17">
        <f t="shared" si="0"/>
        <v>41.761904761904759</v>
      </c>
      <c r="I13">
        <f t="shared" si="1"/>
        <v>0.7</v>
      </c>
    </row>
    <row r="14" spans="1:9" x14ac:dyDescent="0.2">
      <c r="A14" s="3" t="s">
        <v>13</v>
      </c>
      <c r="B14" s="4">
        <v>45714</v>
      </c>
      <c r="C14" s="3">
        <v>336</v>
      </c>
      <c r="D14" s="3" t="s">
        <v>53</v>
      </c>
      <c r="E14" s="3" t="s">
        <v>50</v>
      </c>
      <c r="F14" s="5">
        <v>0.60069444444444442</v>
      </c>
      <c r="G14" s="3">
        <v>45</v>
      </c>
      <c r="H14" s="17">
        <f t="shared" si="0"/>
        <v>41.761904761904759</v>
      </c>
      <c r="I14">
        <f t="shared" si="1"/>
        <v>0.7</v>
      </c>
    </row>
    <row r="15" spans="1:9" x14ac:dyDescent="0.2">
      <c r="A15" s="3" t="s">
        <v>13</v>
      </c>
      <c r="B15" s="4">
        <v>45714</v>
      </c>
      <c r="C15" s="3">
        <v>346</v>
      </c>
      <c r="D15" s="3" t="s">
        <v>65</v>
      </c>
      <c r="E15" s="3" t="s">
        <v>50</v>
      </c>
      <c r="F15" s="5">
        <v>0.62847222222222221</v>
      </c>
      <c r="G15" s="3">
        <v>42</v>
      </c>
      <c r="H15" s="17">
        <f t="shared" si="0"/>
        <v>41.761904761904759</v>
      </c>
      <c r="I15">
        <f t="shared" si="1"/>
        <v>0.7</v>
      </c>
    </row>
    <row r="16" spans="1:9" x14ac:dyDescent="0.2">
      <c r="A16" s="3" t="s">
        <v>13</v>
      </c>
      <c r="B16" s="4">
        <v>45714</v>
      </c>
      <c r="C16" s="3">
        <v>356</v>
      </c>
      <c r="D16" s="3" t="s">
        <v>66</v>
      </c>
      <c r="E16" s="3" t="s">
        <v>50</v>
      </c>
      <c r="F16" s="5">
        <v>0.64583333333333337</v>
      </c>
      <c r="G16" s="3">
        <v>42</v>
      </c>
      <c r="H16" s="17">
        <f t="shared" si="0"/>
        <v>41.761904761904759</v>
      </c>
      <c r="I16">
        <f t="shared" si="1"/>
        <v>0.7</v>
      </c>
    </row>
    <row r="17" spans="1:9" x14ac:dyDescent="0.2">
      <c r="A17" s="3" t="s">
        <v>13</v>
      </c>
      <c r="B17" s="4">
        <v>45714</v>
      </c>
      <c r="C17" s="3">
        <v>376</v>
      </c>
      <c r="D17" s="3" t="s">
        <v>59</v>
      </c>
      <c r="E17" s="3" t="s">
        <v>50</v>
      </c>
      <c r="F17" s="5">
        <v>0.67708333333333337</v>
      </c>
      <c r="G17" s="3">
        <v>41</v>
      </c>
      <c r="H17" s="17">
        <f t="shared" si="0"/>
        <v>41.761904761904759</v>
      </c>
      <c r="I17">
        <f t="shared" si="1"/>
        <v>0.7</v>
      </c>
    </row>
    <row r="18" spans="1:9" x14ac:dyDescent="0.2">
      <c r="A18" s="3" t="s">
        <v>13</v>
      </c>
      <c r="B18" s="4">
        <v>45714</v>
      </c>
      <c r="C18" s="3">
        <v>386</v>
      </c>
      <c r="D18" s="3" t="s">
        <v>58</v>
      </c>
      <c r="E18" s="3" t="s">
        <v>50</v>
      </c>
      <c r="F18" s="5">
        <v>0.70138888888888884</v>
      </c>
      <c r="G18" s="3">
        <v>41</v>
      </c>
      <c r="H18" s="17">
        <f t="shared" si="0"/>
        <v>41.761904761904759</v>
      </c>
      <c r="I18">
        <f t="shared" si="1"/>
        <v>0.7</v>
      </c>
    </row>
    <row r="19" spans="1:9" x14ac:dyDescent="0.2">
      <c r="A19" s="3" t="s">
        <v>13</v>
      </c>
      <c r="B19" s="4">
        <v>45714</v>
      </c>
      <c r="C19" s="3">
        <v>396</v>
      </c>
      <c r="D19" s="3" t="s">
        <v>47</v>
      </c>
      <c r="E19" s="3" t="s">
        <v>50</v>
      </c>
      <c r="F19" s="5">
        <v>0.72222222222222221</v>
      </c>
      <c r="G19" s="3">
        <v>40</v>
      </c>
      <c r="H19" s="17">
        <f t="shared" si="0"/>
        <v>41.761904761904759</v>
      </c>
      <c r="I19">
        <f t="shared" si="1"/>
        <v>0.7</v>
      </c>
    </row>
    <row r="20" spans="1:9" x14ac:dyDescent="0.2">
      <c r="A20" s="3" t="s">
        <v>13</v>
      </c>
      <c r="B20" s="4">
        <v>45714</v>
      </c>
      <c r="C20" s="3">
        <v>506</v>
      </c>
      <c r="D20" s="3" t="s">
        <v>64</v>
      </c>
      <c r="E20" s="3" t="s">
        <v>50</v>
      </c>
      <c r="F20" s="5">
        <v>0.73611111111111116</v>
      </c>
      <c r="G20" s="3">
        <v>40</v>
      </c>
      <c r="H20" s="17">
        <f t="shared" si="0"/>
        <v>41.761904761904759</v>
      </c>
      <c r="I20">
        <f t="shared" si="1"/>
        <v>0.7</v>
      </c>
    </row>
    <row r="21" spans="1:9" x14ac:dyDescent="0.2">
      <c r="A21" s="3" t="s">
        <v>13</v>
      </c>
      <c r="B21" s="4">
        <v>45714</v>
      </c>
      <c r="C21" s="3">
        <v>516</v>
      </c>
      <c r="D21" s="3" t="s">
        <v>66</v>
      </c>
      <c r="E21" s="3" t="s">
        <v>50</v>
      </c>
      <c r="F21" s="5">
        <v>0.75694444444444442</v>
      </c>
      <c r="G21" s="3">
        <v>40</v>
      </c>
      <c r="H21" s="17">
        <f t="shared" si="0"/>
        <v>41.761904761904759</v>
      </c>
      <c r="I21">
        <f t="shared" si="1"/>
        <v>0.7</v>
      </c>
    </row>
    <row r="22" spans="1:9" x14ac:dyDescent="0.2">
      <c r="A22" s="3" t="s">
        <v>13</v>
      </c>
      <c r="B22" s="4">
        <v>45714</v>
      </c>
      <c r="C22" s="3">
        <v>546</v>
      </c>
      <c r="D22" s="3" t="s">
        <v>58</v>
      </c>
      <c r="E22" s="3" t="s">
        <v>50</v>
      </c>
      <c r="F22" s="5">
        <v>0.80486111111111114</v>
      </c>
      <c r="G22" s="3">
        <v>40</v>
      </c>
      <c r="H22" s="17">
        <f t="shared" si="0"/>
        <v>41.761904761904759</v>
      </c>
      <c r="I22">
        <f t="shared" si="1"/>
        <v>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5F72-98E7-D34E-9DF4-3F27604EB635}">
  <dimension ref="A1:I17"/>
  <sheetViews>
    <sheetView workbookViewId="0">
      <selection activeCell="I2" sqref="I2"/>
    </sheetView>
  </sheetViews>
  <sheetFormatPr baseColWidth="10" defaultRowHeight="16" x14ac:dyDescent="0.2"/>
  <sheetData>
    <row r="1" spans="1:9" ht="45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16" t="s">
        <v>71</v>
      </c>
      <c r="I1" s="16" t="s">
        <v>72</v>
      </c>
    </row>
    <row r="2" spans="1:9" x14ac:dyDescent="0.2">
      <c r="A2" s="3" t="s">
        <v>13</v>
      </c>
      <c r="B2" s="4">
        <v>45714</v>
      </c>
      <c r="C2" s="3">
        <v>113</v>
      </c>
      <c r="D2" s="3" t="s">
        <v>47</v>
      </c>
      <c r="E2" s="3" t="s">
        <v>48</v>
      </c>
      <c r="F2" s="5">
        <v>0.23333333333333334</v>
      </c>
      <c r="G2" s="3">
        <v>40</v>
      </c>
      <c r="H2" s="17">
        <f>AVERAGE($G$2:$G$17)</f>
        <v>41.6875</v>
      </c>
      <c r="I2">
        <f>ROUND((H2/60), 2)</f>
        <v>0.69</v>
      </c>
    </row>
    <row r="3" spans="1:9" x14ac:dyDescent="0.2">
      <c r="A3" s="3" t="s">
        <v>13</v>
      </c>
      <c r="B3" s="4">
        <v>45714</v>
      </c>
      <c r="C3" s="3">
        <v>133</v>
      </c>
      <c r="D3" s="3" t="s">
        <v>57</v>
      </c>
      <c r="E3" s="3" t="s">
        <v>48</v>
      </c>
      <c r="F3" s="5">
        <v>0.27083333333333331</v>
      </c>
      <c r="G3" s="3">
        <v>41</v>
      </c>
      <c r="H3" s="17">
        <f t="shared" ref="H3:H17" si="0">AVERAGE($G$2:$G$17)</f>
        <v>41.6875</v>
      </c>
      <c r="I3">
        <f t="shared" ref="I3:I17" si="1">ROUND((H3/60), 2)</f>
        <v>0.69</v>
      </c>
    </row>
    <row r="4" spans="1:9" x14ac:dyDescent="0.2">
      <c r="A4" s="3" t="s">
        <v>13</v>
      </c>
      <c r="B4" s="4">
        <v>45714</v>
      </c>
      <c r="C4" s="3">
        <v>153</v>
      </c>
      <c r="D4" s="3" t="s">
        <v>60</v>
      </c>
      <c r="E4" s="3" t="s">
        <v>48</v>
      </c>
      <c r="F4" s="5">
        <v>0.30208333333333331</v>
      </c>
      <c r="G4" s="3">
        <v>39</v>
      </c>
      <c r="H4" s="17">
        <f t="shared" si="0"/>
        <v>41.6875</v>
      </c>
      <c r="I4">
        <f t="shared" si="1"/>
        <v>0.69</v>
      </c>
    </row>
    <row r="5" spans="1:9" x14ac:dyDescent="0.2">
      <c r="A5" s="3" t="s">
        <v>13</v>
      </c>
      <c r="B5" s="4">
        <v>45714</v>
      </c>
      <c r="C5" s="3">
        <v>193</v>
      </c>
      <c r="D5" s="3" t="s">
        <v>55</v>
      </c>
      <c r="E5" s="3" t="s">
        <v>48</v>
      </c>
      <c r="F5" s="5">
        <v>0.37847222222222221</v>
      </c>
      <c r="G5" s="3">
        <v>42</v>
      </c>
      <c r="H5" s="17">
        <f t="shared" si="0"/>
        <v>41.6875</v>
      </c>
      <c r="I5">
        <f t="shared" si="1"/>
        <v>0.69</v>
      </c>
    </row>
    <row r="6" spans="1:9" x14ac:dyDescent="0.2">
      <c r="A6" s="3" t="s">
        <v>13</v>
      </c>
      <c r="B6" s="4">
        <v>45714</v>
      </c>
      <c r="C6" s="3">
        <v>203</v>
      </c>
      <c r="D6" s="3" t="s">
        <v>59</v>
      </c>
      <c r="E6" s="3" t="s">
        <v>48</v>
      </c>
      <c r="F6" s="5">
        <v>0.39791666666666664</v>
      </c>
      <c r="G6" s="3">
        <v>42</v>
      </c>
      <c r="H6" s="17">
        <f t="shared" si="0"/>
        <v>41.6875</v>
      </c>
      <c r="I6">
        <f t="shared" si="1"/>
        <v>0.69</v>
      </c>
    </row>
    <row r="7" spans="1:9" x14ac:dyDescent="0.2">
      <c r="A7" s="3" t="s">
        <v>13</v>
      </c>
      <c r="B7" s="4">
        <v>45714</v>
      </c>
      <c r="C7" s="3">
        <v>233</v>
      </c>
      <c r="D7" s="3" t="s">
        <v>61</v>
      </c>
      <c r="E7" s="3" t="s">
        <v>48</v>
      </c>
      <c r="F7" s="5">
        <v>0.44444444444444442</v>
      </c>
      <c r="G7" s="3">
        <v>41</v>
      </c>
      <c r="H7" s="17">
        <f t="shared" si="0"/>
        <v>41.6875</v>
      </c>
      <c r="I7">
        <f t="shared" si="1"/>
        <v>0.69</v>
      </c>
    </row>
    <row r="8" spans="1:9" x14ac:dyDescent="0.2">
      <c r="A8" s="3" t="s">
        <v>13</v>
      </c>
      <c r="B8" s="4">
        <v>45714</v>
      </c>
      <c r="C8" s="3">
        <v>253</v>
      </c>
      <c r="D8" s="3" t="s">
        <v>58</v>
      </c>
      <c r="E8" s="3" t="s">
        <v>48</v>
      </c>
      <c r="F8" s="5">
        <v>0.46527777777777779</v>
      </c>
      <c r="G8" s="3">
        <v>44</v>
      </c>
      <c r="H8" s="17">
        <f t="shared" si="0"/>
        <v>41.6875</v>
      </c>
      <c r="I8">
        <f t="shared" si="1"/>
        <v>0.69</v>
      </c>
    </row>
    <row r="9" spans="1:9" x14ac:dyDescent="0.2">
      <c r="A9" s="3" t="s">
        <v>13</v>
      </c>
      <c r="B9" s="4">
        <v>45714</v>
      </c>
      <c r="C9" s="3">
        <v>283</v>
      </c>
      <c r="D9" s="3" t="s">
        <v>60</v>
      </c>
      <c r="E9" s="3" t="s">
        <v>48</v>
      </c>
      <c r="F9" s="5">
        <v>0.5229166666666667</v>
      </c>
      <c r="G9" s="3">
        <v>44</v>
      </c>
      <c r="H9" s="17">
        <f t="shared" si="0"/>
        <v>41.6875</v>
      </c>
      <c r="I9">
        <f t="shared" si="1"/>
        <v>0.69</v>
      </c>
    </row>
    <row r="10" spans="1:9" x14ac:dyDescent="0.2">
      <c r="A10" s="3" t="s">
        <v>13</v>
      </c>
      <c r="B10" s="4">
        <v>45714</v>
      </c>
      <c r="C10" s="3">
        <v>303</v>
      </c>
      <c r="D10" s="3" t="s">
        <v>63</v>
      </c>
      <c r="E10" s="3" t="s">
        <v>48</v>
      </c>
      <c r="F10" s="5">
        <v>0.55000000000000004</v>
      </c>
      <c r="G10" s="3">
        <v>45</v>
      </c>
      <c r="H10" s="17">
        <f t="shared" si="0"/>
        <v>41.6875</v>
      </c>
      <c r="I10">
        <f t="shared" si="1"/>
        <v>0.69</v>
      </c>
    </row>
    <row r="11" spans="1:9" x14ac:dyDescent="0.2">
      <c r="A11" s="3" t="s">
        <v>13</v>
      </c>
      <c r="B11" s="4">
        <v>45714</v>
      </c>
      <c r="C11" s="3">
        <v>343</v>
      </c>
      <c r="D11" s="3" t="s">
        <v>64</v>
      </c>
      <c r="E11" s="3" t="s">
        <v>48</v>
      </c>
      <c r="F11" s="5">
        <v>0.60763888888888884</v>
      </c>
      <c r="G11" s="3">
        <v>43</v>
      </c>
      <c r="H11" s="17">
        <f t="shared" si="0"/>
        <v>41.6875</v>
      </c>
      <c r="I11">
        <f t="shared" si="1"/>
        <v>0.69</v>
      </c>
    </row>
    <row r="12" spans="1:9" x14ac:dyDescent="0.2">
      <c r="A12" s="3" t="s">
        <v>13</v>
      </c>
      <c r="B12" s="4">
        <v>45714</v>
      </c>
      <c r="C12" s="3">
        <v>363</v>
      </c>
      <c r="D12" s="3" t="s">
        <v>51</v>
      </c>
      <c r="E12" s="3" t="s">
        <v>48</v>
      </c>
      <c r="F12" s="5">
        <v>0.65625</v>
      </c>
      <c r="G12" s="3">
        <v>43</v>
      </c>
      <c r="H12" s="17">
        <f t="shared" si="0"/>
        <v>41.6875</v>
      </c>
      <c r="I12">
        <f t="shared" si="1"/>
        <v>0.69</v>
      </c>
    </row>
    <row r="13" spans="1:9" x14ac:dyDescent="0.2">
      <c r="A13" s="3" t="s">
        <v>13</v>
      </c>
      <c r="B13" s="4">
        <v>45714</v>
      </c>
      <c r="C13" s="3">
        <v>373</v>
      </c>
      <c r="D13" s="3" t="s">
        <v>63</v>
      </c>
      <c r="E13" s="3" t="s">
        <v>48</v>
      </c>
      <c r="F13" s="5">
        <v>0.68402777777777779</v>
      </c>
      <c r="G13" s="3">
        <v>42</v>
      </c>
      <c r="H13" s="17">
        <f t="shared" si="0"/>
        <v>41.6875</v>
      </c>
      <c r="I13">
        <f t="shared" si="1"/>
        <v>0.69</v>
      </c>
    </row>
    <row r="14" spans="1:9" x14ac:dyDescent="0.2">
      <c r="A14" s="3" t="s">
        <v>13</v>
      </c>
      <c r="B14" s="4">
        <v>45714</v>
      </c>
      <c r="C14" s="3">
        <v>393</v>
      </c>
      <c r="D14" s="3" t="s">
        <v>53</v>
      </c>
      <c r="E14" s="3" t="s">
        <v>48</v>
      </c>
      <c r="F14" s="5">
        <v>0.72222222222222221</v>
      </c>
      <c r="G14" s="3">
        <v>40</v>
      </c>
      <c r="H14" s="17">
        <f t="shared" si="0"/>
        <v>41.6875</v>
      </c>
      <c r="I14">
        <f t="shared" si="1"/>
        <v>0.69</v>
      </c>
    </row>
    <row r="15" spans="1:9" x14ac:dyDescent="0.2">
      <c r="A15" s="3" t="s">
        <v>13</v>
      </c>
      <c r="B15" s="4">
        <v>45714</v>
      </c>
      <c r="C15" s="3">
        <v>503</v>
      </c>
      <c r="D15" s="3" t="s">
        <v>65</v>
      </c>
      <c r="E15" s="3" t="s">
        <v>48</v>
      </c>
      <c r="F15" s="5">
        <v>0.73958333333333337</v>
      </c>
      <c r="G15" s="3">
        <v>40</v>
      </c>
      <c r="H15" s="17">
        <f t="shared" si="0"/>
        <v>41.6875</v>
      </c>
      <c r="I15">
        <f t="shared" si="1"/>
        <v>0.69</v>
      </c>
    </row>
    <row r="16" spans="1:9" x14ac:dyDescent="0.2">
      <c r="A16" s="3" t="s">
        <v>13</v>
      </c>
      <c r="B16" s="4">
        <v>45714</v>
      </c>
      <c r="C16" s="3">
        <v>533</v>
      </c>
      <c r="D16" s="3" t="s">
        <v>63</v>
      </c>
      <c r="E16" s="3" t="s">
        <v>48</v>
      </c>
      <c r="F16" s="5">
        <v>0.78402777777777777</v>
      </c>
      <c r="G16" s="3">
        <v>41</v>
      </c>
      <c r="H16" s="17">
        <f t="shared" si="0"/>
        <v>41.6875</v>
      </c>
      <c r="I16">
        <f t="shared" si="1"/>
        <v>0.69</v>
      </c>
    </row>
    <row r="17" spans="1:9" x14ac:dyDescent="0.2">
      <c r="A17" s="3" t="s">
        <v>13</v>
      </c>
      <c r="B17" s="4">
        <v>45714</v>
      </c>
      <c r="C17" s="3">
        <v>563</v>
      </c>
      <c r="D17" s="3" t="s">
        <v>59</v>
      </c>
      <c r="E17" s="3" t="s">
        <v>48</v>
      </c>
      <c r="F17" s="5">
        <v>0.84375</v>
      </c>
      <c r="G17" s="3">
        <v>40</v>
      </c>
      <c r="H17" s="17">
        <f t="shared" si="0"/>
        <v>41.6875</v>
      </c>
      <c r="I17">
        <f t="shared" si="1"/>
        <v>0.69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FA3D-C9A7-A144-A757-9A6EDE86711E}">
  <dimension ref="A1:I16"/>
  <sheetViews>
    <sheetView workbookViewId="0">
      <selection activeCell="I2" sqref="I2:I16"/>
    </sheetView>
  </sheetViews>
  <sheetFormatPr baseColWidth="10" defaultRowHeight="16" x14ac:dyDescent="0.2"/>
  <sheetData>
    <row r="1" spans="1:9" ht="45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16" t="s">
        <v>71</v>
      </c>
      <c r="I1" s="16" t="s">
        <v>72</v>
      </c>
    </row>
    <row r="2" spans="1:9" x14ac:dyDescent="0.2">
      <c r="A2" s="3" t="s">
        <v>13</v>
      </c>
      <c r="B2" s="4">
        <v>45714</v>
      </c>
      <c r="C2" s="3">
        <v>118</v>
      </c>
      <c r="D2" s="3" t="s">
        <v>51</v>
      </c>
      <c r="E2" s="3" t="s">
        <v>52</v>
      </c>
      <c r="F2" s="5">
        <v>0.2361111111111111</v>
      </c>
      <c r="G2" s="3">
        <v>45</v>
      </c>
      <c r="H2" s="17">
        <f>AVERAGE($G$2:$G$16)</f>
        <v>47.2</v>
      </c>
      <c r="I2">
        <f>ROUND((H2/60), 2)</f>
        <v>0.79</v>
      </c>
    </row>
    <row r="3" spans="1:9" x14ac:dyDescent="0.2">
      <c r="A3" s="3" t="s">
        <v>13</v>
      </c>
      <c r="B3" s="4">
        <v>45714</v>
      </c>
      <c r="C3" s="3">
        <v>128</v>
      </c>
      <c r="D3" s="3" t="s">
        <v>56</v>
      </c>
      <c r="E3" s="3" t="s">
        <v>52</v>
      </c>
      <c r="F3" s="5">
        <v>0.27083333333333331</v>
      </c>
      <c r="G3" s="3">
        <v>46</v>
      </c>
      <c r="H3" s="17">
        <f t="shared" ref="H3:H16" si="0">AVERAGE($G$2:$G$16)</f>
        <v>47.2</v>
      </c>
      <c r="I3">
        <f t="shared" ref="I3:I16" si="1">ROUND((H3/60), 2)</f>
        <v>0.79</v>
      </c>
    </row>
    <row r="4" spans="1:9" x14ac:dyDescent="0.2">
      <c r="A4" s="3" t="s">
        <v>13</v>
      </c>
      <c r="B4" s="4">
        <v>45714</v>
      </c>
      <c r="C4" s="3">
        <v>158</v>
      </c>
      <c r="D4" s="3" t="s">
        <v>62</v>
      </c>
      <c r="E4" s="3" t="s">
        <v>52</v>
      </c>
      <c r="F4" s="5">
        <v>0.3298611111111111</v>
      </c>
      <c r="G4" s="3">
        <v>46</v>
      </c>
      <c r="H4" s="17">
        <f t="shared" si="0"/>
        <v>47.2</v>
      </c>
      <c r="I4">
        <f t="shared" si="1"/>
        <v>0.79</v>
      </c>
    </row>
    <row r="5" spans="1:9" x14ac:dyDescent="0.2">
      <c r="A5" s="3" t="s">
        <v>13</v>
      </c>
      <c r="B5" s="4">
        <v>45714</v>
      </c>
      <c r="C5" s="3">
        <v>178</v>
      </c>
      <c r="D5" s="3" t="s">
        <v>51</v>
      </c>
      <c r="E5" s="3" t="s">
        <v>52</v>
      </c>
      <c r="F5" s="5">
        <v>0.35069444444444442</v>
      </c>
      <c r="G5" s="3">
        <v>47</v>
      </c>
      <c r="H5" s="17">
        <f t="shared" si="0"/>
        <v>47.2</v>
      </c>
      <c r="I5">
        <f t="shared" si="1"/>
        <v>0.79</v>
      </c>
    </row>
    <row r="6" spans="1:9" x14ac:dyDescent="0.2">
      <c r="A6" s="3" t="s">
        <v>13</v>
      </c>
      <c r="B6" s="4">
        <v>45714</v>
      </c>
      <c r="C6" s="3">
        <v>198</v>
      </c>
      <c r="D6" s="3" t="s">
        <v>53</v>
      </c>
      <c r="E6" s="3" t="s">
        <v>52</v>
      </c>
      <c r="F6" s="5">
        <v>0.375</v>
      </c>
      <c r="G6" s="3">
        <v>47</v>
      </c>
      <c r="H6" s="17">
        <f t="shared" si="0"/>
        <v>47.2</v>
      </c>
      <c r="I6">
        <f t="shared" si="1"/>
        <v>0.79</v>
      </c>
    </row>
    <row r="7" spans="1:9" x14ac:dyDescent="0.2">
      <c r="A7" s="3" t="s">
        <v>13</v>
      </c>
      <c r="B7" s="4">
        <v>45714</v>
      </c>
      <c r="C7" s="3">
        <v>238</v>
      </c>
      <c r="D7" s="3" t="s">
        <v>63</v>
      </c>
      <c r="E7" s="3" t="s">
        <v>52</v>
      </c>
      <c r="F7" s="5">
        <v>0.4375</v>
      </c>
      <c r="G7" s="3">
        <v>47</v>
      </c>
      <c r="H7" s="17">
        <f t="shared" si="0"/>
        <v>47.2</v>
      </c>
      <c r="I7">
        <f t="shared" si="1"/>
        <v>0.79</v>
      </c>
    </row>
    <row r="8" spans="1:9" x14ac:dyDescent="0.2">
      <c r="A8" s="3" t="s">
        <v>13</v>
      </c>
      <c r="B8" s="4">
        <v>45714</v>
      </c>
      <c r="C8" s="3">
        <v>258</v>
      </c>
      <c r="D8" s="3" t="s">
        <v>49</v>
      </c>
      <c r="E8" s="3" t="s">
        <v>52</v>
      </c>
      <c r="F8" s="5">
        <v>0.46180555555555558</v>
      </c>
      <c r="G8" s="3">
        <v>49</v>
      </c>
      <c r="H8" s="17">
        <f t="shared" si="0"/>
        <v>47.2</v>
      </c>
      <c r="I8">
        <f t="shared" si="1"/>
        <v>0.79</v>
      </c>
    </row>
    <row r="9" spans="1:9" x14ac:dyDescent="0.2">
      <c r="A9" s="3" t="s">
        <v>13</v>
      </c>
      <c r="B9" s="4">
        <v>45714</v>
      </c>
      <c r="C9" s="3">
        <v>268</v>
      </c>
      <c r="D9" s="3" t="s">
        <v>65</v>
      </c>
      <c r="E9" s="3" t="s">
        <v>52</v>
      </c>
      <c r="F9" s="5">
        <v>0.49652777777777779</v>
      </c>
      <c r="G9" s="3">
        <v>50</v>
      </c>
      <c r="H9" s="17">
        <f t="shared" si="0"/>
        <v>47.2</v>
      </c>
      <c r="I9">
        <f t="shared" si="1"/>
        <v>0.79</v>
      </c>
    </row>
    <row r="10" spans="1:9" x14ac:dyDescent="0.2">
      <c r="A10" s="3" t="s">
        <v>13</v>
      </c>
      <c r="B10" s="4">
        <v>45714</v>
      </c>
      <c r="C10" s="3">
        <v>298</v>
      </c>
      <c r="D10" s="3" t="s">
        <v>51</v>
      </c>
      <c r="E10" s="3" t="s">
        <v>52</v>
      </c>
      <c r="F10" s="5">
        <v>0.53819444444444442</v>
      </c>
      <c r="G10" s="3">
        <v>48</v>
      </c>
      <c r="H10" s="17">
        <f t="shared" si="0"/>
        <v>47.2</v>
      </c>
      <c r="I10">
        <f t="shared" si="1"/>
        <v>0.79</v>
      </c>
    </row>
    <row r="11" spans="1:9" x14ac:dyDescent="0.2">
      <c r="A11" s="3" t="s">
        <v>13</v>
      </c>
      <c r="B11" s="4">
        <v>45714</v>
      </c>
      <c r="C11" s="3">
        <v>318</v>
      </c>
      <c r="D11" s="3" t="s">
        <v>58</v>
      </c>
      <c r="E11" s="3" t="s">
        <v>52</v>
      </c>
      <c r="F11" s="5">
        <v>0.57291666666666663</v>
      </c>
      <c r="G11" s="3">
        <v>48</v>
      </c>
      <c r="H11" s="17">
        <f t="shared" si="0"/>
        <v>47.2</v>
      </c>
      <c r="I11">
        <f t="shared" si="1"/>
        <v>0.79</v>
      </c>
    </row>
    <row r="12" spans="1:9" x14ac:dyDescent="0.2">
      <c r="A12" s="3" t="s">
        <v>13</v>
      </c>
      <c r="B12" s="4">
        <v>45714</v>
      </c>
      <c r="C12" s="3">
        <v>338</v>
      </c>
      <c r="D12" s="3" t="s">
        <v>55</v>
      </c>
      <c r="E12" s="3" t="s">
        <v>52</v>
      </c>
      <c r="F12" s="5">
        <v>0.61458333333333337</v>
      </c>
      <c r="G12" s="3">
        <v>50</v>
      </c>
      <c r="H12" s="17">
        <f t="shared" si="0"/>
        <v>47.2</v>
      </c>
      <c r="I12">
        <f t="shared" si="1"/>
        <v>0.79</v>
      </c>
    </row>
    <row r="13" spans="1:9" x14ac:dyDescent="0.2">
      <c r="A13" s="3" t="s">
        <v>13</v>
      </c>
      <c r="B13" s="4">
        <v>45714</v>
      </c>
      <c r="C13" s="3">
        <v>368</v>
      </c>
      <c r="D13" s="3" t="s">
        <v>61</v>
      </c>
      <c r="E13" s="3" t="s">
        <v>52</v>
      </c>
      <c r="F13" s="5">
        <v>0.65625</v>
      </c>
      <c r="G13" s="3">
        <v>48</v>
      </c>
      <c r="H13" s="17">
        <f t="shared" si="0"/>
        <v>47.2</v>
      </c>
      <c r="I13">
        <f t="shared" si="1"/>
        <v>0.79</v>
      </c>
    </row>
    <row r="14" spans="1:9" x14ac:dyDescent="0.2">
      <c r="A14" s="3" t="s">
        <v>13</v>
      </c>
      <c r="B14" s="4">
        <v>45714</v>
      </c>
      <c r="C14" s="3">
        <v>388</v>
      </c>
      <c r="D14" s="3" t="s">
        <v>49</v>
      </c>
      <c r="E14" s="3" t="s">
        <v>52</v>
      </c>
      <c r="F14" s="5">
        <v>0.70138888888888884</v>
      </c>
      <c r="G14" s="3">
        <v>47</v>
      </c>
      <c r="H14" s="17">
        <f t="shared" si="0"/>
        <v>47.2</v>
      </c>
      <c r="I14">
        <f t="shared" si="1"/>
        <v>0.79</v>
      </c>
    </row>
    <row r="15" spans="1:9" x14ac:dyDescent="0.2">
      <c r="A15" s="3" t="s">
        <v>13</v>
      </c>
      <c r="B15" s="4">
        <v>45714</v>
      </c>
      <c r="C15" s="3">
        <v>508</v>
      </c>
      <c r="D15" s="3" t="s">
        <v>62</v>
      </c>
      <c r="E15" s="3" t="s">
        <v>52</v>
      </c>
      <c r="F15" s="5">
        <v>0.74930555555555556</v>
      </c>
      <c r="G15" s="3">
        <v>45</v>
      </c>
      <c r="H15" s="17">
        <f t="shared" si="0"/>
        <v>47.2</v>
      </c>
      <c r="I15">
        <f t="shared" si="1"/>
        <v>0.79</v>
      </c>
    </row>
    <row r="16" spans="1:9" x14ac:dyDescent="0.2">
      <c r="A16" s="3" t="s">
        <v>13</v>
      </c>
      <c r="B16" s="4">
        <v>45714</v>
      </c>
      <c r="C16" s="3">
        <v>568</v>
      </c>
      <c r="D16" s="3" t="s">
        <v>51</v>
      </c>
      <c r="E16" s="3" t="s">
        <v>52</v>
      </c>
      <c r="F16" s="5">
        <v>0.84027777777777779</v>
      </c>
      <c r="G16" s="3">
        <v>45</v>
      </c>
      <c r="H16" s="17">
        <f t="shared" si="0"/>
        <v>47.2</v>
      </c>
      <c r="I16">
        <f t="shared" si="1"/>
        <v>0.79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4B39-E0E7-954C-A025-45B8A4B0B6C5}">
  <dimension ref="A1:I13"/>
  <sheetViews>
    <sheetView workbookViewId="0">
      <selection activeCell="H1" sqref="H1:I2"/>
    </sheetView>
  </sheetViews>
  <sheetFormatPr baseColWidth="10" defaultRowHeight="16" x14ac:dyDescent="0.2"/>
  <sheetData>
    <row r="1" spans="1:9" ht="45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14" t="s">
        <v>12</v>
      </c>
      <c r="H1" s="16" t="s">
        <v>71</v>
      </c>
      <c r="I1" s="16" t="s">
        <v>72</v>
      </c>
    </row>
    <row r="2" spans="1:9" x14ac:dyDescent="0.2">
      <c r="A2" s="3" t="s">
        <v>13</v>
      </c>
      <c r="B2" s="4">
        <v>45714</v>
      </c>
      <c r="C2" s="3">
        <v>122</v>
      </c>
      <c r="D2" s="3" t="s">
        <v>53</v>
      </c>
      <c r="E2" s="3" t="s">
        <v>54</v>
      </c>
      <c r="F2" s="5">
        <v>0.25347222222222221</v>
      </c>
      <c r="G2" s="15">
        <v>55</v>
      </c>
      <c r="H2" s="17">
        <f>AVERAGE($G$2:$G$13)</f>
        <v>54.333333333333336</v>
      </c>
      <c r="I2">
        <f>ROUND((H2/60), 2)</f>
        <v>0.91</v>
      </c>
    </row>
    <row r="3" spans="1:9" x14ac:dyDescent="0.2">
      <c r="A3" s="3" t="s">
        <v>13</v>
      </c>
      <c r="B3" s="4">
        <v>45714</v>
      </c>
      <c r="C3" s="3">
        <v>142</v>
      </c>
      <c r="D3" s="3" t="s">
        <v>58</v>
      </c>
      <c r="E3" s="3" t="s">
        <v>54</v>
      </c>
      <c r="F3" s="5">
        <v>0.3</v>
      </c>
      <c r="G3" s="15">
        <v>54</v>
      </c>
      <c r="H3" s="17">
        <f t="shared" ref="H3:H13" si="0">AVERAGE($G$2:$G$13)</f>
        <v>54.333333333333336</v>
      </c>
      <c r="I3">
        <f t="shared" ref="I3:I13" si="1">ROUND((H3/60), 2)</f>
        <v>0.91</v>
      </c>
    </row>
    <row r="4" spans="1:9" x14ac:dyDescent="0.2">
      <c r="A4" s="3" t="s">
        <v>13</v>
      </c>
      <c r="B4" s="4">
        <v>45714</v>
      </c>
      <c r="C4" s="3">
        <v>152</v>
      </c>
      <c r="D4" s="3" t="s">
        <v>47</v>
      </c>
      <c r="E4" s="3" t="s">
        <v>54</v>
      </c>
      <c r="F4" s="5">
        <v>0.34861111111111109</v>
      </c>
      <c r="G4" s="15">
        <v>55</v>
      </c>
      <c r="H4" s="17">
        <f t="shared" si="0"/>
        <v>54.333333333333336</v>
      </c>
      <c r="I4">
        <f t="shared" si="1"/>
        <v>0.91</v>
      </c>
    </row>
    <row r="5" spans="1:9" x14ac:dyDescent="0.2">
      <c r="A5" s="3" t="s">
        <v>13</v>
      </c>
      <c r="B5" s="4">
        <v>45714</v>
      </c>
      <c r="C5" s="3">
        <v>192</v>
      </c>
      <c r="D5" s="3" t="s">
        <v>57</v>
      </c>
      <c r="E5" s="3" t="s">
        <v>54</v>
      </c>
      <c r="F5" s="5">
        <v>0.375</v>
      </c>
      <c r="G5" s="15">
        <v>55</v>
      </c>
      <c r="H5" s="17">
        <f t="shared" si="0"/>
        <v>54.333333333333336</v>
      </c>
      <c r="I5">
        <f t="shared" si="1"/>
        <v>0.91</v>
      </c>
    </row>
    <row r="6" spans="1:9" x14ac:dyDescent="0.2">
      <c r="A6" s="3" t="s">
        <v>13</v>
      </c>
      <c r="B6" s="4">
        <v>45714</v>
      </c>
      <c r="C6" s="3">
        <v>232</v>
      </c>
      <c r="D6" s="3" t="s">
        <v>56</v>
      </c>
      <c r="E6" s="3" t="s">
        <v>54</v>
      </c>
      <c r="F6" s="5">
        <v>0.41666666666666669</v>
      </c>
      <c r="G6" s="15">
        <v>54</v>
      </c>
      <c r="H6" s="17">
        <f t="shared" si="0"/>
        <v>54.333333333333336</v>
      </c>
      <c r="I6">
        <f t="shared" si="1"/>
        <v>0.91</v>
      </c>
    </row>
    <row r="7" spans="1:9" x14ac:dyDescent="0.2">
      <c r="A7" s="3" t="s">
        <v>13</v>
      </c>
      <c r="B7" s="4">
        <v>45714</v>
      </c>
      <c r="C7" s="3">
        <v>242</v>
      </c>
      <c r="D7" s="3" t="s">
        <v>47</v>
      </c>
      <c r="E7" s="3" t="s">
        <v>54</v>
      </c>
      <c r="F7" s="5">
        <v>0.46875</v>
      </c>
      <c r="G7" s="15">
        <v>55</v>
      </c>
      <c r="H7" s="17">
        <f t="shared" si="0"/>
        <v>54.333333333333336</v>
      </c>
      <c r="I7">
        <f t="shared" si="1"/>
        <v>0.91</v>
      </c>
    </row>
    <row r="8" spans="1:9" x14ac:dyDescent="0.2">
      <c r="A8" s="3" t="s">
        <v>13</v>
      </c>
      <c r="B8" s="4">
        <v>45714</v>
      </c>
      <c r="C8" s="3">
        <v>272</v>
      </c>
      <c r="D8" s="3" t="s">
        <v>66</v>
      </c>
      <c r="E8" s="3" t="s">
        <v>54</v>
      </c>
      <c r="F8" s="5">
        <v>0.51041666666666663</v>
      </c>
      <c r="G8" s="15">
        <v>56</v>
      </c>
      <c r="H8" s="17">
        <f t="shared" si="0"/>
        <v>54.333333333333336</v>
      </c>
      <c r="I8">
        <f t="shared" si="1"/>
        <v>0.91</v>
      </c>
    </row>
    <row r="9" spans="1:9" x14ac:dyDescent="0.2">
      <c r="A9" s="3" t="s">
        <v>13</v>
      </c>
      <c r="B9" s="4">
        <v>45714</v>
      </c>
      <c r="C9" s="3">
        <v>312</v>
      </c>
      <c r="D9" s="3" t="s">
        <v>47</v>
      </c>
      <c r="E9" s="3" t="s">
        <v>54</v>
      </c>
      <c r="F9" s="5">
        <v>0.59722222222222221</v>
      </c>
      <c r="G9" s="15">
        <v>55</v>
      </c>
      <c r="H9" s="17">
        <f t="shared" si="0"/>
        <v>54.333333333333336</v>
      </c>
      <c r="I9">
        <f t="shared" si="1"/>
        <v>0.91</v>
      </c>
    </row>
    <row r="10" spans="1:9" x14ac:dyDescent="0.2">
      <c r="A10" s="3" t="s">
        <v>13</v>
      </c>
      <c r="B10" s="4">
        <v>45714</v>
      </c>
      <c r="C10" s="3">
        <v>352</v>
      </c>
      <c r="D10" s="3" t="s">
        <v>60</v>
      </c>
      <c r="E10" s="3" t="s">
        <v>54</v>
      </c>
      <c r="F10" s="5">
        <v>0.63541666666666663</v>
      </c>
      <c r="G10" s="15">
        <v>53</v>
      </c>
      <c r="H10" s="17">
        <f t="shared" si="0"/>
        <v>54.333333333333336</v>
      </c>
      <c r="I10">
        <f t="shared" si="1"/>
        <v>0.91</v>
      </c>
    </row>
    <row r="11" spans="1:9" x14ac:dyDescent="0.2">
      <c r="A11" s="3" t="s">
        <v>13</v>
      </c>
      <c r="B11" s="4">
        <v>45714</v>
      </c>
      <c r="C11" s="3">
        <v>392</v>
      </c>
      <c r="D11" s="3" t="s">
        <v>56</v>
      </c>
      <c r="E11" s="3" t="s">
        <v>54</v>
      </c>
      <c r="F11" s="5">
        <v>0.72222222222222221</v>
      </c>
      <c r="G11" s="15">
        <v>53</v>
      </c>
      <c r="H11" s="17">
        <f t="shared" si="0"/>
        <v>54.333333333333336</v>
      </c>
      <c r="I11">
        <f t="shared" si="1"/>
        <v>0.91</v>
      </c>
    </row>
    <row r="12" spans="1:9" x14ac:dyDescent="0.2">
      <c r="A12" s="3" t="s">
        <v>13</v>
      </c>
      <c r="B12" s="4">
        <v>45714</v>
      </c>
      <c r="C12" s="3">
        <v>532</v>
      </c>
      <c r="D12" s="3" t="s">
        <v>61</v>
      </c>
      <c r="E12" s="3" t="s">
        <v>54</v>
      </c>
      <c r="F12" s="5">
        <v>0.77083333333333337</v>
      </c>
      <c r="G12" s="15">
        <v>54</v>
      </c>
      <c r="H12" s="17">
        <f t="shared" si="0"/>
        <v>54.333333333333336</v>
      </c>
      <c r="I12">
        <f t="shared" si="1"/>
        <v>0.91</v>
      </c>
    </row>
    <row r="13" spans="1:9" x14ac:dyDescent="0.2">
      <c r="A13" s="3" t="s">
        <v>13</v>
      </c>
      <c r="B13" s="4">
        <v>45714</v>
      </c>
      <c r="C13" s="3">
        <v>552</v>
      </c>
      <c r="D13" s="3" t="s">
        <v>49</v>
      </c>
      <c r="E13" s="3" t="s">
        <v>54</v>
      </c>
      <c r="F13" s="5">
        <v>0.81597222222222221</v>
      </c>
      <c r="G13" s="15">
        <v>53</v>
      </c>
      <c r="H13" s="17">
        <f t="shared" si="0"/>
        <v>54.333333333333336</v>
      </c>
      <c r="I13">
        <f t="shared" si="1"/>
        <v>0.91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4BFD-1BF7-2C49-BB14-1D38BA0E55B1}">
  <dimension ref="A1:D5"/>
  <sheetViews>
    <sheetView tabSelected="1" workbookViewId="0">
      <selection sqref="A1:D5"/>
    </sheetView>
  </sheetViews>
  <sheetFormatPr baseColWidth="10" defaultRowHeight="16" x14ac:dyDescent="0.2"/>
  <sheetData>
    <row r="1" spans="1:4" x14ac:dyDescent="0.2">
      <c r="A1" t="s">
        <v>73</v>
      </c>
      <c r="B1" t="s">
        <v>74</v>
      </c>
      <c r="C1" t="s">
        <v>75</v>
      </c>
      <c r="D1" t="s">
        <v>76</v>
      </c>
    </row>
    <row r="2" spans="1:4" x14ac:dyDescent="0.2">
      <c r="A2" t="s">
        <v>81</v>
      </c>
      <c r="B2" s="18" t="s">
        <v>77</v>
      </c>
      <c r="C2">
        <v>21</v>
      </c>
      <c r="D2" s="19">
        <v>0.7</v>
      </c>
    </row>
    <row r="3" spans="1:4" x14ac:dyDescent="0.2">
      <c r="A3" t="s">
        <v>81</v>
      </c>
      <c r="B3" s="18" t="s">
        <v>78</v>
      </c>
      <c r="C3">
        <v>15</v>
      </c>
      <c r="D3">
        <v>0.79</v>
      </c>
    </row>
    <row r="4" spans="1:4" x14ac:dyDescent="0.2">
      <c r="A4" t="s">
        <v>81</v>
      </c>
      <c r="B4" s="18" t="s">
        <v>79</v>
      </c>
      <c r="C4">
        <v>16</v>
      </c>
      <c r="D4">
        <v>0.69</v>
      </c>
    </row>
    <row r="5" spans="1:4" x14ac:dyDescent="0.2">
      <c r="A5" t="s">
        <v>81</v>
      </c>
      <c r="B5" s="18" t="s">
        <v>80</v>
      </c>
      <c r="C5">
        <v>12</v>
      </c>
      <c r="D5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HNL_departures</vt:lpstr>
      <vt:lpstr>HNL_departures_counts</vt:lpstr>
      <vt:lpstr>HNL_island_departures</vt:lpstr>
      <vt:lpstr>HNL_island_departures_counts</vt:lpstr>
      <vt:lpstr>HNL_Kahului_departures</vt:lpstr>
      <vt:lpstr>HNL_Lihue_departures</vt:lpstr>
      <vt:lpstr>HNL_Kona_departures</vt:lpstr>
      <vt:lpstr>HNL_Hilo_departures</vt:lpstr>
      <vt:lpstr>HNL_island_departures_summary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Allison Noble Kane</cp:lastModifiedBy>
  <dcterms:created xsi:type="dcterms:W3CDTF">2026-03-13T16:44:20Z</dcterms:created>
  <dcterms:modified xsi:type="dcterms:W3CDTF">2026-03-13T18:32:41Z</dcterms:modified>
</cp:coreProperties>
</file>