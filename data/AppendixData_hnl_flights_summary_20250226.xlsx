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ane9080/LocalProjects/MSDS460/FinalProject/data/"/>
    </mc:Choice>
  </mc:AlternateContent>
  <xr:revisionPtr revIDLastSave="0" documentId="13_ncr:1_{E9D71415-7C10-334F-B650-850B7AED753B}" xr6:coauthVersionLast="47" xr6:coauthVersionMax="47" xr10:uidLastSave="{00000000-0000-0000-0000-000000000000}"/>
  <bookViews>
    <workbookView xWindow="1160" yWindow="1000" windowWidth="27640" windowHeight="16160" activeTab="1" xr2:uid="{9858EF80-1B96-CD4F-8AA9-A67DC8095302}"/>
  </bookViews>
  <sheets>
    <sheet name="HNL_one_way_flights" sheetId="1" r:id="rId1"/>
    <sheet name="island_flights_clean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2" i="2"/>
  <c r="I3" i="2"/>
  <c r="I4" i="2"/>
  <c r="I5" i="2"/>
  <c r="I2" i="2"/>
  <c r="C3" i="2"/>
  <c r="F3" i="2" s="1"/>
  <c r="C4" i="2"/>
  <c r="F4" i="2" s="1"/>
  <c r="C5" i="2"/>
  <c r="F5" i="2" s="1"/>
  <c r="C2" i="2"/>
  <c r="F2" i="2" s="1"/>
  <c r="B3" i="2"/>
  <c r="B4" i="2"/>
  <c r="B5" i="2"/>
  <c r="B2" i="2"/>
</calcChain>
</file>

<file path=xl/sharedStrings.xml><?xml version="1.0" encoding="utf-8"?>
<sst xmlns="http://schemas.openxmlformats.org/spreadsheetml/2006/main" count="34" uniqueCount="19">
  <si>
    <t>Origin</t>
  </si>
  <si>
    <t>Destination</t>
  </si>
  <si>
    <t>Demand</t>
  </si>
  <si>
    <t>Travel_time</t>
  </si>
  <si>
    <t>HNL</t>
  </si>
  <si>
    <t>Kahului</t>
  </si>
  <si>
    <t>Kona</t>
  </si>
  <si>
    <t>Lihue</t>
  </si>
  <si>
    <t>Hilo</t>
  </si>
  <si>
    <t>roundtrip_destination</t>
  </si>
  <si>
    <t>demand</t>
  </si>
  <si>
    <t>flighttime</t>
  </si>
  <si>
    <t>fuel_burned_hr</t>
  </si>
  <si>
    <t>fuel_cost_hr</t>
  </si>
  <si>
    <t>fuel_cost_flight</t>
  </si>
  <si>
    <t>cabin</t>
  </si>
  <si>
    <t>pilot</t>
  </si>
  <si>
    <t>cost_staff_normal</t>
  </si>
  <si>
    <t>cost_staff_grey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</si>
</sst>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EA86-2BAF-2E40-A937-C213DC2D92DA}">
  <dimension ref="A1:D16"/>
  <sheetViews>
    <sheetView workbookViewId="0">
      <selection activeCell="D16" sqref="A11:D1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s="1" t="s">
        <v>5</v>
      </c>
      <c r="C2">
        <v>21</v>
      </c>
      <c r="D2" s="2">
        <v>0.7</v>
      </c>
    </row>
    <row r="3" spans="1:4" x14ac:dyDescent="0.2">
      <c r="A3" t="s">
        <v>4</v>
      </c>
      <c r="B3" s="1" t="s">
        <v>6</v>
      </c>
      <c r="C3">
        <v>15</v>
      </c>
      <c r="D3">
        <v>0.79</v>
      </c>
    </row>
    <row r="4" spans="1:4" x14ac:dyDescent="0.2">
      <c r="A4" t="s">
        <v>4</v>
      </c>
      <c r="B4" s="1" t="s">
        <v>7</v>
      </c>
      <c r="C4">
        <v>16</v>
      </c>
      <c r="D4">
        <v>0.69</v>
      </c>
    </row>
    <row r="5" spans="1:4" x14ac:dyDescent="0.2">
      <c r="A5" t="s">
        <v>4</v>
      </c>
      <c r="B5" s="1" t="s">
        <v>8</v>
      </c>
      <c r="C5">
        <v>12</v>
      </c>
      <c r="D5">
        <v>0.91</v>
      </c>
    </row>
    <row r="6" spans="1:4" x14ac:dyDescent="0.2">
      <c r="A6" t="s">
        <v>5</v>
      </c>
      <c r="B6" t="s">
        <v>4</v>
      </c>
      <c r="C6">
        <v>21</v>
      </c>
      <c r="D6">
        <v>0.66</v>
      </c>
    </row>
    <row r="7" spans="1:4" x14ac:dyDescent="0.2">
      <c r="A7" t="s">
        <v>6</v>
      </c>
      <c r="B7" t="s">
        <v>4</v>
      </c>
      <c r="C7">
        <v>15</v>
      </c>
      <c r="D7">
        <v>0.8</v>
      </c>
    </row>
    <row r="8" spans="1:4" x14ac:dyDescent="0.2">
      <c r="A8" t="s">
        <v>7</v>
      </c>
      <c r="B8" t="s">
        <v>4</v>
      </c>
      <c r="C8">
        <v>16</v>
      </c>
      <c r="D8">
        <v>0.61</v>
      </c>
    </row>
    <row r="9" spans="1:4" x14ac:dyDescent="0.2">
      <c r="A9" t="s">
        <v>8</v>
      </c>
      <c r="B9" t="s">
        <v>4</v>
      </c>
      <c r="C9">
        <v>12</v>
      </c>
      <c r="D9">
        <v>0.91</v>
      </c>
    </row>
    <row r="13" spans="1:4" x14ac:dyDescent="0.2">
      <c r="B13" s="1"/>
      <c r="D13" s="2"/>
    </row>
    <row r="14" spans="1:4" x14ac:dyDescent="0.2">
      <c r="B14" s="1"/>
    </row>
    <row r="15" spans="1:4" x14ac:dyDescent="0.2">
      <c r="B15" s="1"/>
    </row>
    <row r="16" spans="1:4" x14ac:dyDescent="0.2">
      <c r="B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5CD2-C741-214F-BBAA-664B1ACC489A}">
  <dimension ref="A1:J5"/>
  <sheetViews>
    <sheetView tabSelected="1" workbookViewId="0">
      <selection activeCell="C15" sqref="C15"/>
    </sheetView>
  </sheetViews>
  <sheetFormatPr baseColWidth="10" defaultRowHeight="16" x14ac:dyDescent="0.2"/>
  <cols>
    <col min="1" max="1" width="20" customWidth="1"/>
  </cols>
  <sheetData>
    <row r="1" spans="1:10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 x14ac:dyDescent="0.2">
      <c r="A2" t="s">
        <v>5</v>
      </c>
      <c r="B2">
        <f>AVERAGE(HNL_one_way_flights!C2,HNL_one_way_flights!C6)</f>
        <v>21</v>
      </c>
      <c r="C2">
        <f>HNL_one_way_flights!D2+HNL_one_way_flights!D6</f>
        <v>1.3599999999999999</v>
      </c>
      <c r="D2" s="1">
        <v>1872</v>
      </c>
      <c r="E2" s="1">
        <v>1441.44</v>
      </c>
      <c r="F2">
        <f>E2*C2</f>
        <v>1960.3583999999998</v>
      </c>
      <c r="G2" s="1">
        <v>3</v>
      </c>
      <c r="H2" s="1">
        <v>2</v>
      </c>
      <c r="I2" s="1">
        <f>32.27*G2*2 + 95.24*1.25*H2*2</f>
        <v>669.81999999999994</v>
      </c>
      <c r="J2" s="1">
        <f>32.27*1.5*G2*2 + 95.24*1.5*H2*2</f>
        <v>861.86999999999989</v>
      </c>
    </row>
    <row r="3" spans="1:10" x14ac:dyDescent="0.2">
      <c r="A3" t="s">
        <v>6</v>
      </c>
      <c r="B3">
        <f>AVERAGE(HNL_one_way_flights!C3,HNL_one_way_flights!C7)</f>
        <v>15</v>
      </c>
      <c r="C3">
        <f>HNL_one_way_flights!D3+HNL_one_way_flights!D7</f>
        <v>1.59</v>
      </c>
      <c r="D3" s="1">
        <v>1872</v>
      </c>
      <c r="E3" s="1">
        <v>1441.44</v>
      </c>
      <c r="F3">
        <f t="shared" ref="F3:F5" si="0">E3*C3</f>
        <v>2291.8896000000004</v>
      </c>
      <c r="G3" s="1">
        <v>3</v>
      </c>
      <c r="H3" s="1">
        <v>2</v>
      </c>
      <c r="I3" s="1">
        <f t="shared" ref="I3:I5" si="1">32.27*G3*2 + 95.24*1.25*H3*2</f>
        <v>669.81999999999994</v>
      </c>
      <c r="J3" s="1">
        <f t="shared" ref="J3:J5" si="2">32.27*1.5*G3*2 + 95.24*1.5*H3*2</f>
        <v>861.86999999999989</v>
      </c>
    </row>
    <row r="4" spans="1:10" x14ac:dyDescent="0.2">
      <c r="A4" t="s">
        <v>7</v>
      </c>
      <c r="B4">
        <f>AVERAGE(HNL_one_way_flights!C4,HNL_one_way_flights!C8)</f>
        <v>16</v>
      </c>
      <c r="C4">
        <f>HNL_one_way_flights!D4+HNL_one_way_flights!D8</f>
        <v>1.2999999999999998</v>
      </c>
      <c r="D4" s="1">
        <v>1872</v>
      </c>
      <c r="E4" s="1">
        <v>1441.44</v>
      </c>
      <c r="F4">
        <f t="shared" si="0"/>
        <v>1873.8719999999998</v>
      </c>
      <c r="G4" s="1">
        <v>3</v>
      </c>
      <c r="H4" s="1">
        <v>2</v>
      </c>
      <c r="I4" s="1">
        <f t="shared" si="1"/>
        <v>669.81999999999994</v>
      </c>
      <c r="J4" s="1">
        <f t="shared" si="2"/>
        <v>861.86999999999989</v>
      </c>
    </row>
    <row r="5" spans="1:10" x14ac:dyDescent="0.2">
      <c r="A5" t="s">
        <v>8</v>
      </c>
      <c r="B5">
        <f>AVERAGE(HNL_one_way_flights!C5,HNL_one_way_flights!C9)</f>
        <v>12</v>
      </c>
      <c r="C5">
        <f>HNL_one_way_flights!D5+HNL_one_way_flights!D9</f>
        <v>1.82</v>
      </c>
      <c r="D5" s="1">
        <v>1872</v>
      </c>
      <c r="E5" s="1">
        <v>1441.44</v>
      </c>
      <c r="F5">
        <f t="shared" si="0"/>
        <v>2623.4208000000003</v>
      </c>
      <c r="G5" s="1">
        <v>3</v>
      </c>
      <c r="H5" s="1">
        <v>2</v>
      </c>
      <c r="I5" s="1">
        <f t="shared" si="1"/>
        <v>669.81999999999994</v>
      </c>
      <c r="J5" s="1">
        <f t="shared" si="2"/>
        <v>861.86999999999989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HNL_one_way_flights</vt:lpstr>
      <vt:lpstr>island_flights_cleaned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Noble Kane</dc:creator>
  <cp:lastModifiedBy>Allison Noble Kane</cp:lastModifiedBy>
  <dcterms:created xsi:type="dcterms:W3CDTF">2026-03-13T17:32:15Z</dcterms:created>
  <dcterms:modified xsi:type="dcterms:W3CDTF">2026-03-13T18:32:51Z</dcterms:modified>
</cp:coreProperties>
</file>